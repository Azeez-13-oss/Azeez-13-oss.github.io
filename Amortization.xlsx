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1601"/>
  <workbookPr/>
  <mc:AlternateContent xmlns:mc="http://schemas.openxmlformats.org/markup-compatibility/2006">
    <mc:Choice Requires="x15">
      <x15ac:absPath xmlns:x15ac="http://schemas.microsoft.com/office/spreadsheetml/2010/11/ac" url="C:\Users\HP\Documents\AZEEZ FOLDER\New folder\"/>
    </mc:Choice>
  </mc:AlternateContent>
  <xr:revisionPtr revIDLastSave="0" documentId="13_ncr:1_{9D02C9DB-D959-450A-982E-DA2A2F41BB90}" xr6:coauthVersionLast="43" xr6:coauthVersionMax="43" xr10:uidLastSave="{00000000-0000-0000-0000-000000000000}"/>
  <bookViews>
    <workbookView xWindow="-120" yWindow="-120" windowWidth="20730" windowHeight="11160" xr2:uid="{00000000-000D-0000-FFFF-FFFF00000000}"/>
  </bookViews>
  <sheets>
    <sheet name="Dashboard" sheetId="3" r:id="rId1"/>
    <sheet name="New" sheetId="2" r:id="rId2"/>
    <sheet name="Old" sheetId="1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D31" i="1" l="1"/>
  <c r="E31" i="1"/>
  <c r="G44" i="1" l="1"/>
  <c r="B18" i="2"/>
  <c r="B14" i="2" l="1"/>
  <c r="B9" i="2" l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32" i="1" s="1"/>
  <c r="B33" i="1" s="1"/>
  <c r="B34" i="1" s="1"/>
  <c r="B35" i="1" s="1"/>
  <c r="B36" i="1" s="1"/>
  <c r="B37" i="1" s="1"/>
  <c r="B38" i="1" s="1"/>
  <c r="B39" i="1" s="1"/>
  <c r="B40" i="1" s="1"/>
  <c r="B41" i="1" s="1"/>
  <c r="B42" i="1" s="1"/>
  <c r="B7" i="1"/>
  <c r="B8" i="2"/>
  <c r="B4" i="1"/>
  <c r="B3" i="1"/>
  <c r="B2" i="1"/>
  <c r="B1" i="1"/>
  <c r="D2" i="1" l="1"/>
  <c r="D1" i="1"/>
  <c r="C7" i="1"/>
  <c r="E7" i="1" l="1"/>
  <c r="D3" i="1"/>
  <c r="D7" i="1" s="1"/>
  <c r="F7" i="1" s="1"/>
  <c r="H7" i="1" l="1"/>
  <c r="C8" i="1" l="1"/>
  <c r="D8" i="1" l="1"/>
  <c r="E8" i="1"/>
  <c r="F8" i="1" l="1"/>
  <c r="H8" i="1" s="1"/>
  <c r="C9" i="1" s="1"/>
  <c r="D9" i="1" l="1"/>
  <c r="F9" i="1" s="1"/>
  <c r="E9" i="1"/>
  <c r="H9" i="1" l="1"/>
  <c r="C10" i="1" s="1"/>
  <c r="D10" i="1" l="1"/>
  <c r="E10" i="1"/>
  <c r="F10" i="1" l="1"/>
  <c r="H10" i="1"/>
  <c r="C11" i="1" s="1"/>
  <c r="D11" i="1" l="1"/>
  <c r="E11" i="1"/>
  <c r="F11" i="1" l="1"/>
  <c r="H11" i="1" s="1"/>
  <c r="C12" i="1" s="1"/>
  <c r="D12" i="1" l="1"/>
  <c r="E12" i="1"/>
  <c r="F12" i="1" l="1"/>
  <c r="H12" i="1" s="1"/>
  <c r="C13" i="1" s="1"/>
  <c r="D13" i="1" l="1"/>
  <c r="F13" i="1" s="1"/>
  <c r="E13" i="1"/>
  <c r="H13" i="1" l="1"/>
  <c r="C14" i="1" s="1"/>
  <c r="D14" i="1" l="1"/>
  <c r="E14" i="1"/>
  <c r="F14" i="1" l="1"/>
  <c r="H14" i="1" s="1"/>
  <c r="C15" i="1" s="1"/>
  <c r="D15" i="1" l="1"/>
  <c r="E15" i="1"/>
  <c r="F15" i="1" l="1"/>
  <c r="H15" i="1" s="1"/>
  <c r="C16" i="1" s="1"/>
  <c r="D16" i="1" l="1"/>
  <c r="F16" i="1" s="1"/>
  <c r="E16" i="1"/>
  <c r="H16" i="1" l="1"/>
  <c r="C17" i="1" s="1"/>
  <c r="D17" i="1" l="1"/>
  <c r="E17" i="1"/>
  <c r="F17" i="1" l="1"/>
  <c r="H17" i="1" s="1"/>
  <c r="C18" i="1" s="1"/>
  <c r="D18" i="1" s="1"/>
  <c r="E18" i="1" l="1"/>
  <c r="F18" i="1" s="1"/>
  <c r="H18" i="1" s="1"/>
  <c r="C19" i="1" s="1"/>
  <c r="D19" i="1" l="1"/>
  <c r="E19" i="1"/>
  <c r="F19" i="1" l="1"/>
  <c r="H19" i="1"/>
  <c r="C20" i="1" s="1"/>
  <c r="D20" i="1" l="1"/>
  <c r="E20" i="1"/>
  <c r="F20" i="1" l="1"/>
  <c r="H20" i="1" s="1"/>
  <c r="C21" i="1" s="1"/>
  <c r="E21" i="1" s="1"/>
  <c r="D21" i="1" l="1"/>
  <c r="F21" i="1" s="1"/>
  <c r="H21" i="1" s="1"/>
  <c r="C22" i="1" s="1"/>
  <c r="E22" i="1" s="1"/>
  <c r="D22" i="1" l="1"/>
  <c r="F22" i="1" s="1"/>
  <c r="H22" i="1" s="1"/>
  <c r="C23" i="1" s="1"/>
  <c r="D23" i="1" s="1"/>
  <c r="E23" i="1" l="1"/>
  <c r="F23" i="1"/>
  <c r="H23" i="1" s="1"/>
  <c r="C24" i="1" s="1"/>
  <c r="D24" i="1" l="1"/>
  <c r="E24" i="1"/>
  <c r="F24" i="1" l="1"/>
  <c r="H24" i="1" s="1"/>
  <c r="C25" i="1" s="1"/>
  <c r="D25" i="1" l="1"/>
  <c r="E25" i="1"/>
  <c r="F25" i="1" l="1"/>
  <c r="H25" i="1" s="1"/>
  <c r="C26" i="1" s="1"/>
  <c r="D26" i="1" l="1"/>
  <c r="E26" i="1"/>
  <c r="F26" i="1" l="1"/>
  <c r="H26" i="1" s="1"/>
  <c r="C27" i="1" s="1"/>
  <c r="E27" i="1" s="1"/>
  <c r="D27" i="1" l="1"/>
  <c r="F27" i="1" s="1"/>
  <c r="H27" i="1" s="1"/>
  <c r="C28" i="1" s="1"/>
  <c r="D28" i="1" l="1"/>
  <c r="E28" i="1"/>
  <c r="F28" i="1" l="1"/>
  <c r="H28" i="1"/>
  <c r="C29" i="1" s="1"/>
  <c r="E29" i="1" l="1"/>
  <c r="D29" i="1"/>
  <c r="F29" i="1" s="1"/>
  <c r="H29" i="1" s="1"/>
  <c r="C30" i="1" s="1"/>
  <c r="D30" i="1" l="1"/>
  <c r="E30" i="1"/>
  <c r="F30" i="1" l="1"/>
  <c r="H30" i="1" s="1"/>
  <c r="C31" i="1" s="1"/>
  <c r="F31" i="1" l="1"/>
  <c r="H31" i="1" s="1"/>
  <c r="C32" i="1" s="1"/>
  <c r="D32" i="1" l="1"/>
  <c r="F32" i="1" s="1"/>
  <c r="H32" i="1" s="1"/>
  <c r="C33" i="1" s="1"/>
  <c r="E32" i="1"/>
  <c r="D33" i="1" l="1"/>
  <c r="E33" i="1"/>
  <c r="F33" i="1"/>
  <c r="H33" i="1" s="1"/>
  <c r="C34" i="1" s="1"/>
  <c r="D34" i="1" l="1"/>
  <c r="E34" i="1"/>
  <c r="F34" i="1"/>
  <c r="H34" i="1" l="1"/>
  <c r="C35" i="1" s="1"/>
  <c r="D35" i="1" l="1"/>
  <c r="F35" i="1" s="1"/>
  <c r="H35" i="1" s="1"/>
  <c r="C36" i="1" s="1"/>
  <c r="E35" i="1"/>
  <c r="D36" i="1" l="1"/>
  <c r="E36" i="1"/>
  <c r="F36" i="1"/>
  <c r="H36" i="1" s="1"/>
  <c r="C37" i="1" s="1"/>
  <c r="D37" i="1" l="1"/>
  <c r="F37" i="1" s="1"/>
  <c r="H37" i="1" s="1"/>
  <c r="C38" i="1" s="1"/>
  <c r="E37" i="1"/>
  <c r="D38" i="1" l="1"/>
  <c r="E38" i="1"/>
  <c r="F38" i="1"/>
  <c r="H38" i="1" s="1"/>
  <c r="C39" i="1" s="1"/>
  <c r="D39" i="1" l="1"/>
  <c r="E39" i="1"/>
  <c r="F39" i="1"/>
  <c r="H39" i="1" s="1"/>
  <c r="C40" i="1" s="1"/>
  <c r="D40" i="1" l="1"/>
  <c r="F40" i="1" s="1"/>
  <c r="H40" i="1" s="1"/>
  <c r="C41" i="1" s="1"/>
  <c r="E40" i="1"/>
  <c r="D41" i="1" l="1"/>
  <c r="E41" i="1"/>
  <c r="F41" i="1"/>
  <c r="H41" i="1" s="1"/>
  <c r="C42" i="1" s="1"/>
  <c r="D42" i="1" l="1"/>
  <c r="E42" i="1"/>
  <c r="E44" i="1"/>
  <c r="B16" i="2" s="1"/>
  <c r="F42" i="1" l="1"/>
  <c r="D44" i="1"/>
  <c r="B15" i="2" s="1"/>
  <c r="F44" i="1" l="1"/>
  <c r="B17" i="2" s="1"/>
  <c r="H42" i="1"/>
  <c r="B19" i="2" s="1"/>
  <c r="B20" i="2" l="1"/>
</calcChain>
</file>

<file path=xl/sharedStrings.xml><?xml version="1.0" encoding="utf-8"?>
<sst xmlns="http://schemas.openxmlformats.org/spreadsheetml/2006/main" count="74" uniqueCount="69">
  <si>
    <t>Principal:</t>
  </si>
  <si>
    <t>Number of Payment:</t>
  </si>
  <si>
    <t>Terms:</t>
  </si>
  <si>
    <t>Annual Rate:</t>
  </si>
  <si>
    <t>Payment:</t>
  </si>
  <si>
    <t>Initial Date:</t>
  </si>
  <si>
    <t>Months</t>
  </si>
  <si>
    <t>Date</t>
  </si>
  <si>
    <t>Beginning Bal</t>
  </si>
  <si>
    <t>Payment</t>
  </si>
  <si>
    <t>Interest</t>
  </si>
  <si>
    <t>Principal</t>
  </si>
  <si>
    <t>Ending Balance</t>
  </si>
  <si>
    <t>Monthly</t>
  </si>
  <si>
    <t>Payment Frequency</t>
  </si>
  <si>
    <t>Start Date</t>
  </si>
  <si>
    <t>Loan Term (Years)</t>
  </si>
  <si>
    <t>Interest Rate</t>
  </si>
  <si>
    <t>Loan Amount</t>
  </si>
  <si>
    <t>Quarterly</t>
  </si>
  <si>
    <t>Annual</t>
  </si>
  <si>
    <t>Payment Period</t>
  </si>
  <si>
    <t>Rate Per Period:</t>
  </si>
  <si>
    <t>Payment Date Period</t>
  </si>
  <si>
    <t>Extra Principal Payment</t>
  </si>
  <si>
    <t>Metric</t>
  </si>
  <si>
    <t>Original Loan</t>
  </si>
  <si>
    <t>Total Payments</t>
  </si>
  <si>
    <t>Total Interest Paid</t>
  </si>
  <si>
    <t>Total Principal Paid</t>
  </si>
  <si>
    <t>Total extra Principal</t>
  </si>
  <si>
    <t>Loan Progress %</t>
  </si>
  <si>
    <t>LOAN DASHBOARD</t>
  </si>
  <si>
    <t>Month 1</t>
  </si>
  <si>
    <t>Month 2</t>
  </si>
  <si>
    <t>Month 3</t>
  </si>
  <si>
    <t>Month 4</t>
  </si>
  <si>
    <t>Month 5</t>
  </si>
  <si>
    <t>Month 6</t>
  </si>
  <si>
    <t>Month 7</t>
  </si>
  <si>
    <t>Month 8</t>
  </si>
  <si>
    <t>Month 9</t>
  </si>
  <si>
    <t>Month 10</t>
  </si>
  <si>
    <t>Month 11</t>
  </si>
  <si>
    <t>Month 12</t>
  </si>
  <si>
    <t>Month 13</t>
  </si>
  <si>
    <t>Month 14</t>
  </si>
  <si>
    <t>Month 15</t>
  </si>
  <si>
    <t>Month 16</t>
  </si>
  <si>
    <t>Month 17</t>
  </si>
  <si>
    <t>Month 18</t>
  </si>
  <si>
    <t>Month 19</t>
  </si>
  <si>
    <t>Month 20</t>
  </si>
  <si>
    <t>Month 21</t>
  </si>
  <si>
    <t>Month 22</t>
  </si>
  <si>
    <t>Month 23</t>
  </si>
  <si>
    <t>Month 24</t>
  </si>
  <si>
    <t>Month 25</t>
  </si>
  <si>
    <t>Month 26</t>
  </si>
  <si>
    <t>Month 27</t>
  </si>
  <si>
    <t>Month 28</t>
  </si>
  <si>
    <t>Month 29</t>
  </si>
  <si>
    <t>Month 30</t>
  </si>
  <si>
    <t>Month 31</t>
  </si>
  <si>
    <t>Month 32</t>
  </si>
  <si>
    <t>Month 33</t>
  </si>
  <si>
    <t>Month 34</t>
  </si>
  <si>
    <t>Month 35</t>
  </si>
  <si>
    <t>Month 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</si>
</sst>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8" formatCode="&quot;$&quot;#,##0.00_);[Red]\(&quot;$&quot;#,##0.00\)"/>
    <numFmt numFmtId="43" formatCode="_(* #,##0.00_);_(* \(#,##0.00\);_(* &quot;-&quot;??_);_(@_)"/>
    <numFmt numFmtId="164" formatCode="_ * #,##0.00_ ;_ * \-#,##0.00_ ;_ * &quot;-&quot;??_ ;_ @_ "/>
    <numFmt numFmtId="165" formatCode="_ [$₦-471]* #,##0.00_ ;_ [$₦-471]* \-#,##0.00_ ;_ [$₦-471]* &quot;-&quot;??_ ;_ @_ "/>
    <numFmt numFmtId="166" formatCode="_-[$₦-470]* #,##0.00_-;\-[$₦-470]* #,##0.00_-;_-[$₦-470]* &quot;-&quot;??_-;_-@_-"/>
    <numFmt numFmtId="167" formatCode="_-[$₦-46A]* #,##0_-;\-[$₦-46A]* #,##0_-;_-[$₦-46A]* &quot;-&quot;??_-;_-@_-"/>
    <numFmt numFmtId="168" formatCode="_ * #,##0_ ;_ * \-#,##0_ ;_ * &quot;-&quot;??_ ;_ @_ "/>
  </numFmts>
  <fonts count="12">
    <font>
      <sz val="11"/>
      <color theme="1"/>
      <name val="Calibri"/>
      <charset val="134"/>
      <scheme val="minor"/>
    </font>
    <font>
      <sz val="11"/>
      <color theme="1"/>
      <name val="Times New Roman"/>
      <family val="1"/>
    </font>
    <font>
      <b/>
      <sz val="11"/>
      <color theme="0"/>
      <name val="Times New Roman"/>
      <family val="1"/>
    </font>
    <font>
      <sz val="11"/>
      <color theme="0"/>
      <name val="Times New Roman"/>
      <family val="1"/>
    </font>
    <font>
      <b/>
      <sz val="12"/>
      <color theme="1"/>
      <name val="Times New Roman"/>
      <family val="1"/>
    </font>
    <font>
      <vertAlign val="superscript"/>
      <sz val="11"/>
      <color theme="1"/>
      <name val="Times New Roman"/>
      <family val="1"/>
    </font>
    <font>
      <sz val="11"/>
      <color theme="1"/>
      <name val="Calibri"/>
      <family val="2"/>
      <scheme val="minor"/>
    </font>
    <font>
      <sz val="11"/>
      <color theme="1"/>
      <name val="Bahnschrift Condensed"/>
      <family val="2"/>
    </font>
    <font>
      <sz val="11"/>
      <color theme="1"/>
      <name val="Calibri"/>
      <family val="2"/>
      <scheme val="minor"/>
    </font>
    <font>
      <b/>
      <sz val="11"/>
      <color theme="1"/>
      <name val="Times New Roman"/>
      <family val="1"/>
    </font>
    <font>
      <sz val="11"/>
      <color theme="0"/>
      <name val="Bahnschrift Condensed"/>
      <family val="2"/>
    </font>
    <font>
      <b/>
      <sz val="14"/>
      <color theme="1"/>
      <name val="Bahnschrift Condensed"/>
      <family val="2"/>
    </font>
  </fonts>
  <fills count="8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7" tint="0.39997558519241921"/>
        <bgColor indexed="64"/>
      </patternFill>
    </fill>
  </fills>
  <borders count="3">
    <border>
      <left/>
      <right/>
      <top/>
      <bottom/>
      <diagonal/>
    </border>
    <border>
      <left/>
      <right/>
      <top style="thick">
        <color rgb="FF00B0F0"/>
      </top>
      <bottom/>
      <diagonal/>
    </border>
    <border>
      <left/>
      <right style="medium">
        <color theme="2" tint="-9.9948118533890809E-2"/>
      </right>
      <top style="medium">
        <color theme="2" tint="-9.9948118533890809E-2"/>
      </top>
      <bottom style="medium">
        <color theme="2" tint="-9.9948118533890809E-2"/>
      </bottom>
      <diagonal/>
    </border>
  </borders>
  <cellStyleXfs count="5">
    <xf numFmtId="0" fontId="0" fillId="0" borderId="0">
      <alignment vertical="center"/>
    </xf>
    <xf numFmtId="164" fontId="6" fillId="0" borderId="0" applyFont="0" applyFill="0" applyBorder="0" applyAlignment="0" applyProtection="0">
      <alignment vertical="center"/>
    </xf>
    <xf numFmtId="0" fontId="5" fillId="4" borderId="0">
      <alignment vertical="center"/>
    </xf>
    <xf numFmtId="0" fontId="4" fillId="3" borderId="0">
      <alignment vertical="center"/>
    </xf>
    <xf numFmtId="9" fontId="8" fillId="0" borderId="0" applyFont="0" applyFill="0" applyBorder="0" applyAlignment="0" applyProtection="0"/>
  </cellStyleXfs>
  <cellXfs count="32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2" borderId="0" xfId="0" applyFont="1" applyFill="1">
      <alignment vertical="center"/>
    </xf>
    <xf numFmtId="10" fontId="2" fillId="2" borderId="0" xfId="0" applyNumberFormat="1" applyFont="1" applyFill="1">
      <alignment vertical="center"/>
    </xf>
    <xf numFmtId="9" fontId="2" fillId="2" borderId="0" xfId="0" applyNumberFormat="1" applyFont="1" applyFill="1">
      <alignment vertical="center"/>
    </xf>
    <xf numFmtId="165" fontId="2" fillId="2" borderId="0" xfId="0" applyNumberFormat="1" applyFont="1" applyFill="1">
      <alignment vertical="center"/>
    </xf>
    <xf numFmtId="14" fontId="2" fillId="2" borderId="0" xfId="0" applyNumberFormat="1" applyFont="1" applyFill="1">
      <alignment vertical="center"/>
    </xf>
    <xf numFmtId="0" fontId="3" fillId="2" borderId="0" xfId="0" applyFont="1" applyFill="1">
      <alignment vertical="center"/>
    </xf>
    <xf numFmtId="0" fontId="1" fillId="0" borderId="1" xfId="0" applyFont="1" applyBorder="1">
      <alignment vertical="center"/>
    </xf>
    <xf numFmtId="0" fontId="4" fillId="3" borderId="0" xfId="3">
      <alignment vertical="center"/>
    </xf>
    <xf numFmtId="14" fontId="1" fillId="0" borderId="0" xfId="0" applyNumberFormat="1" applyFont="1">
      <alignment vertical="center"/>
    </xf>
    <xf numFmtId="164" fontId="1" fillId="0" borderId="0" xfId="0" applyNumberFormat="1" applyFont="1">
      <alignment vertical="center"/>
    </xf>
    <xf numFmtId="8" fontId="1" fillId="0" borderId="0" xfId="0" applyNumberFormat="1" applyFont="1">
      <alignment vertical="center"/>
    </xf>
    <xf numFmtId="43" fontId="1" fillId="0" borderId="0" xfId="0" applyNumberFormat="1" applyFont="1">
      <alignment vertical="center"/>
    </xf>
    <xf numFmtId="0" fontId="7" fillId="0" borderId="0" xfId="0" applyFont="1">
      <alignment vertical="center"/>
    </xf>
    <xf numFmtId="164" fontId="7" fillId="5" borderId="2" xfId="1" applyFont="1" applyFill="1" applyBorder="1" applyAlignment="1"/>
    <xf numFmtId="9" fontId="7" fillId="5" borderId="2" xfId="0" applyNumberFormat="1" applyFont="1" applyFill="1" applyBorder="1" applyAlignment="1"/>
    <xf numFmtId="0" fontId="7" fillId="5" borderId="2" xfId="0" applyFont="1" applyFill="1" applyBorder="1" applyAlignment="1"/>
    <xf numFmtId="14" fontId="7" fillId="5" borderId="2" xfId="0" applyNumberFormat="1" applyFont="1" applyFill="1" applyBorder="1" applyAlignment="1"/>
    <xf numFmtId="0" fontId="4" fillId="3" borderId="0" xfId="3" applyAlignment="1">
      <alignment vertical="center" wrapText="1"/>
    </xf>
    <xf numFmtId="9" fontId="7" fillId="0" borderId="0" xfId="4" applyFont="1" applyAlignment="1">
      <alignment vertical="center"/>
    </xf>
    <xf numFmtId="0" fontId="10" fillId="6" borderId="0" xfId="0" applyFont="1" applyFill="1">
      <alignment vertical="center"/>
    </xf>
    <xf numFmtId="0" fontId="7" fillId="7" borderId="0" xfId="0" applyFont="1" applyFill="1" applyAlignment="1"/>
    <xf numFmtId="0" fontId="7" fillId="7" borderId="0" xfId="0" applyFont="1" applyFill="1">
      <alignment vertical="center"/>
    </xf>
    <xf numFmtId="166" fontId="2" fillId="2" borderId="0" xfId="1" applyNumberFormat="1" applyFont="1" applyFill="1">
      <alignment vertical="center"/>
    </xf>
    <xf numFmtId="167" fontId="7" fillId="0" borderId="0" xfId="0" applyNumberFormat="1" applyFont="1">
      <alignment vertical="center"/>
    </xf>
    <xf numFmtId="167" fontId="7" fillId="0" borderId="0" xfId="1" applyNumberFormat="1" applyFont="1">
      <alignment vertical="center"/>
    </xf>
    <xf numFmtId="0" fontId="11" fillId="0" borderId="0" xfId="0" applyFont="1" applyAlignment="1">
      <alignment vertical="center"/>
    </xf>
    <xf numFmtId="168" fontId="1" fillId="0" borderId="0" xfId="0" applyNumberFormat="1" applyFont="1">
      <alignment vertical="center"/>
    </xf>
    <xf numFmtId="168" fontId="1" fillId="0" borderId="0" xfId="1" applyNumberFormat="1" applyFont="1">
      <alignment vertical="center"/>
    </xf>
    <xf numFmtId="168" fontId="9" fillId="0" borderId="0" xfId="1" applyNumberFormat="1" applyFont="1">
      <alignment vertical="center"/>
    </xf>
    <xf numFmtId="0" fontId="11" fillId="0" borderId="0" xfId="0" applyFont="1" applyAlignment="1">
      <alignment horizontal="center" vertical="center"/>
    </xf>
  </cellXfs>
  <cellStyles count="5">
    <cellStyle name="Bash" xfId="3" xr:uid="{00000000-0005-0000-0000-000032000000}"/>
    <cellStyle name="Carrot" xfId="2" xr:uid="{00000000-0005-0000-0000-000031000000}"/>
    <cellStyle name="Comma" xfId="1" builtinId="3"/>
    <cellStyle name="Normal" xfId="0" builtinId="0"/>
    <cellStyle name="Percent" xfId="4" builtinId="5"/>
  </cellStyles>
  <dxfs count="18">
    <dxf>
      <font>
        <b/>
        <i val="0"/>
        <color theme="0"/>
      </font>
      <fill>
        <patternFill>
          <bgColor rgb="FF00B050"/>
        </patternFill>
      </fill>
    </dxf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7"/>
      <tableStyleElement type="headerRow" dxfId="16"/>
      <tableStyleElement type="totalRow" dxfId="15"/>
      <tableStyleElement type="firstColumn" dxfId="14"/>
      <tableStyleElement type="lastColumn" dxfId="13"/>
      <tableStyleElement type="firstRowStripe" dxfId="12"/>
      <tableStyleElement type="firstColumnStripe" dxfId="11"/>
    </tableStyle>
    <tableStyle name="PivotStylePreset2_Accent1" table="0" count="10" xr9:uid="{267968C8-6FFD-4C36-ACC1-9EA1FD1885CA}">
      <tableStyleElement type="headerRow" dxfId="10"/>
      <tableStyleElement type="totalRow" dxfId="9"/>
      <tableStyleElement type="firstRowStripe" dxfId="8"/>
      <tableStyleElement type="firstColumnStripe" dxfId="7"/>
      <tableStyleElement type="firstSubtotalRow" dxfId="6"/>
      <tableStyleElement type="secondSubtotalRow" dxfId="5"/>
      <tableStyleElement type="firstRowSubheading" dxfId="4"/>
      <tableStyleElement type="secondRowSubheading" dxfId="3"/>
      <tableStyleElement type="pageFieldLabels" dxfId="2"/>
      <tableStyleElement type="pageFieldValues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u="none" strike="noStrike" kern="1200" cap="all" spc="10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LOAN BALANCE OVER TIME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6034616154908346"/>
          <c:y val="0.17736111111111111"/>
          <c:w val="0.81288007673739582"/>
          <c:h val="0.5444757946923301"/>
        </c:manualLayout>
      </c:layout>
      <c:lineChart>
        <c:grouping val="stacked"/>
        <c:varyColors val="0"/>
        <c:ser>
          <c:idx val="0"/>
          <c:order val="0"/>
          <c:tx>
            <c:strRef>
              <c:f>Old!$H$6</c:f>
              <c:strCache>
                <c:ptCount val="1"/>
                <c:pt idx="0">
                  <c:v>Ending Balance</c:v>
                </c:pt>
              </c:strCache>
            </c:strRef>
          </c:tx>
          <c:spPr>
            <a:ln w="34925" cap="rnd">
              <a:solidFill>
                <a:schemeClr val="lt1"/>
              </a:solidFill>
              <a:round/>
            </a:ln>
            <a:effectLst>
              <a:outerShdw dist="25400" dir="2700000" algn="tl" rotWithShape="0">
                <a:schemeClr val="accent1"/>
              </a:outerShdw>
            </a:effectLst>
          </c:spPr>
          <c:marker>
            <c:symbol val="none"/>
          </c:marker>
          <c:cat>
            <c:strRef>
              <c:f>Old!$A$7:$A$42</c:f>
              <c:strCache>
                <c:ptCount val="36"/>
                <c:pt idx="0">
                  <c:v>Month 1</c:v>
                </c:pt>
                <c:pt idx="1">
                  <c:v>Month 2</c:v>
                </c:pt>
                <c:pt idx="2">
                  <c:v>Month 3</c:v>
                </c:pt>
                <c:pt idx="3">
                  <c:v>Month 4</c:v>
                </c:pt>
                <c:pt idx="4">
                  <c:v>Month 5</c:v>
                </c:pt>
                <c:pt idx="5">
                  <c:v>Month 6</c:v>
                </c:pt>
                <c:pt idx="6">
                  <c:v>Month 7</c:v>
                </c:pt>
                <c:pt idx="7">
                  <c:v>Month 8</c:v>
                </c:pt>
                <c:pt idx="8">
                  <c:v>Month 9</c:v>
                </c:pt>
                <c:pt idx="9">
                  <c:v>Month 10</c:v>
                </c:pt>
                <c:pt idx="10">
                  <c:v>Month 11</c:v>
                </c:pt>
                <c:pt idx="11">
                  <c:v>Month 12</c:v>
                </c:pt>
                <c:pt idx="12">
                  <c:v>Month 13</c:v>
                </c:pt>
                <c:pt idx="13">
                  <c:v>Month 14</c:v>
                </c:pt>
                <c:pt idx="14">
                  <c:v>Month 15</c:v>
                </c:pt>
                <c:pt idx="15">
                  <c:v>Month 16</c:v>
                </c:pt>
                <c:pt idx="16">
                  <c:v>Month 17</c:v>
                </c:pt>
                <c:pt idx="17">
                  <c:v>Month 18</c:v>
                </c:pt>
                <c:pt idx="18">
                  <c:v>Month 19</c:v>
                </c:pt>
                <c:pt idx="19">
                  <c:v>Month 20</c:v>
                </c:pt>
                <c:pt idx="20">
                  <c:v>Month 21</c:v>
                </c:pt>
                <c:pt idx="21">
                  <c:v>Month 22</c:v>
                </c:pt>
                <c:pt idx="22">
                  <c:v>Month 23</c:v>
                </c:pt>
                <c:pt idx="23">
                  <c:v>Month 24</c:v>
                </c:pt>
                <c:pt idx="24">
                  <c:v>Month 25</c:v>
                </c:pt>
                <c:pt idx="25">
                  <c:v>Month 26</c:v>
                </c:pt>
                <c:pt idx="26">
                  <c:v>Month 27</c:v>
                </c:pt>
                <c:pt idx="27">
                  <c:v>Month 28</c:v>
                </c:pt>
                <c:pt idx="28">
                  <c:v>Month 29</c:v>
                </c:pt>
                <c:pt idx="29">
                  <c:v>Month 30</c:v>
                </c:pt>
                <c:pt idx="30">
                  <c:v>Month 31</c:v>
                </c:pt>
                <c:pt idx="31">
                  <c:v>Month 32</c:v>
                </c:pt>
                <c:pt idx="32">
                  <c:v>Month 33</c:v>
                </c:pt>
                <c:pt idx="33">
                  <c:v>Month 34</c:v>
                </c:pt>
                <c:pt idx="34">
                  <c:v>Month 35</c:v>
                </c:pt>
                <c:pt idx="35">
                  <c:v>Month 36</c:v>
                </c:pt>
              </c:strCache>
            </c:strRef>
          </c:cat>
          <c:val>
            <c:numRef>
              <c:f>Old!$H$7:$H$42</c:f>
              <c:numCache>
                <c:formatCode>_ * #,##0_ ;_ * \-#,##0_ ;_ * "-"??_ ;_ @_ </c:formatCode>
                <c:ptCount val="36"/>
                <c:pt idx="0">
                  <c:v>77610893.377517864</c:v>
                </c:pt>
                <c:pt idx="1">
                  <c:v>76175414.594992414</c:v>
                </c:pt>
                <c:pt idx="2">
                  <c:v>74705245.075222597</c:v>
                </c:pt>
                <c:pt idx="3">
                  <c:v>73199546.458725005</c:v>
                </c:pt>
                <c:pt idx="4">
                  <c:v>71657460.125662059</c:v>
                </c:pt>
                <c:pt idx="5">
                  <c:v>70078106.706216753</c:v>
                </c:pt>
                <c:pt idx="6">
                  <c:v>68460585.579134852</c:v>
                </c:pt>
                <c:pt idx="7">
                  <c:v>66803974.358148478</c:v>
                </c:pt>
                <c:pt idx="8">
                  <c:v>65107328.365988269</c:v>
                </c:pt>
                <c:pt idx="9">
                  <c:v>63369680.095684186</c:v>
                </c:pt>
                <c:pt idx="10">
                  <c:v>61590038.658847757</c:v>
                </c:pt>
                <c:pt idx="11">
                  <c:v>59767389.220621109</c:v>
                </c:pt>
                <c:pt idx="12">
                  <c:v>57900692.420970656</c:v>
                </c:pt>
                <c:pt idx="13">
                  <c:v>55988883.781995311</c:v>
                </c:pt>
                <c:pt idx="14">
                  <c:v>54030873.100911401</c:v>
                </c:pt>
                <c:pt idx="15">
                  <c:v>52025543.828367963</c:v>
                </c:pt>
                <c:pt idx="16">
                  <c:v>49971752.431738056</c:v>
                </c:pt>
                <c:pt idx="17">
                  <c:v>47868327.743022926</c:v>
                </c:pt>
                <c:pt idx="18">
                  <c:v>45714070.290997185</c:v>
                </c:pt>
                <c:pt idx="19">
                  <c:v>43507751.617214151</c:v>
                </c:pt>
                <c:pt idx="20">
                  <c:v>41248113.575481363</c:v>
                </c:pt>
                <c:pt idx="21">
                  <c:v>38933867.614406697</c:v>
                </c:pt>
                <c:pt idx="22">
                  <c:v>36563694.042606063</c:v>
                </c:pt>
                <c:pt idx="23">
                  <c:v>34136241.276153579</c:v>
                </c:pt>
                <c:pt idx="24">
                  <c:v>31650125.067845158</c:v>
                </c:pt>
                <c:pt idx="25">
                  <c:v>29103927.717835952</c:v>
                </c:pt>
                <c:pt idx="26">
                  <c:v>26496197.265201524</c:v>
                </c:pt>
                <c:pt idx="27">
                  <c:v>23825446.659961764</c:v>
                </c:pt>
                <c:pt idx="28">
                  <c:v>21090152.915095374</c:v>
                </c:pt>
                <c:pt idx="29">
                  <c:v>18288756.23806138</c:v>
                </c:pt>
                <c:pt idx="30">
                  <c:v>15419659.141332399</c:v>
                </c:pt>
                <c:pt idx="31">
                  <c:v>12481225.531432467</c:v>
                </c:pt>
                <c:pt idx="32">
                  <c:v>9471779.7759599537</c:v>
                </c:pt>
                <c:pt idx="33">
                  <c:v>6389605.7480635215</c:v>
                </c:pt>
                <c:pt idx="34">
                  <c:v>3232945.8478262583</c:v>
                </c:pt>
                <c:pt idx="3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F24-405D-8402-D0A3FCE382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gradFill>
                <a:gsLst>
                  <a:gs pos="0">
                    <a:schemeClr val="lt1"/>
                  </a:gs>
                  <a:gs pos="100000">
                    <a:schemeClr val="lt1">
                      <a:alpha val="0"/>
                    </a:schemeClr>
                  </a:gs>
                </a:gsLst>
                <a:lin ang="5400000" scaled="0"/>
              </a:gradFill>
              <a:round/>
            </a:ln>
            <a:effectLst/>
          </c:spPr>
        </c:dropLines>
        <c:smooth val="0"/>
        <c:axId val="527860656"/>
        <c:axId val="438435424"/>
      </c:lineChart>
      <c:catAx>
        <c:axId val="52786065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lt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1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8435424"/>
        <c:crosses val="autoZero"/>
        <c:auto val="1"/>
        <c:lblAlgn val="ctr"/>
        <c:lblOffset val="100"/>
        <c:noMultiLvlLbl val="0"/>
      </c:catAx>
      <c:valAx>
        <c:axId val="438435424"/>
        <c:scaling>
          <c:orientation val="minMax"/>
        </c:scaling>
        <c:delete val="0"/>
        <c:axPos val="l"/>
        <c:numFmt formatCode="_ * #,##0_ ;_ * \-#,##0_ ;_ * &quot;-&quot;??_ ;_ 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78606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accent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INTEREST VS</a:t>
            </a:r>
            <a:r>
              <a:rPr lang="en-US" baseline="0"/>
              <a:t> PRINCIPAL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Old!$E$6</c:f>
              <c:strCache>
                <c:ptCount val="1"/>
                <c:pt idx="0">
                  <c:v>Interest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delete val="1"/>
          </c:dLbls>
          <c:cat>
            <c:strRef>
              <c:f>Old!$A$7:$A$42</c:f>
              <c:strCache>
                <c:ptCount val="36"/>
                <c:pt idx="0">
                  <c:v>Month 1</c:v>
                </c:pt>
                <c:pt idx="1">
                  <c:v>Month 2</c:v>
                </c:pt>
                <c:pt idx="2">
                  <c:v>Month 3</c:v>
                </c:pt>
                <c:pt idx="3">
                  <c:v>Month 4</c:v>
                </c:pt>
                <c:pt idx="4">
                  <c:v>Month 5</c:v>
                </c:pt>
                <c:pt idx="5">
                  <c:v>Month 6</c:v>
                </c:pt>
                <c:pt idx="6">
                  <c:v>Month 7</c:v>
                </c:pt>
                <c:pt idx="7">
                  <c:v>Month 8</c:v>
                </c:pt>
                <c:pt idx="8">
                  <c:v>Month 9</c:v>
                </c:pt>
                <c:pt idx="9">
                  <c:v>Month 10</c:v>
                </c:pt>
                <c:pt idx="10">
                  <c:v>Month 11</c:v>
                </c:pt>
                <c:pt idx="11">
                  <c:v>Month 12</c:v>
                </c:pt>
                <c:pt idx="12">
                  <c:v>Month 13</c:v>
                </c:pt>
                <c:pt idx="13">
                  <c:v>Month 14</c:v>
                </c:pt>
                <c:pt idx="14">
                  <c:v>Month 15</c:v>
                </c:pt>
                <c:pt idx="15">
                  <c:v>Month 16</c:v>
                </c:pt>
                <c:pt idx="16">
                  <c:v>Month 17</c:v>
                </c:pt>
                <c:pt idx="17">
                  <c:v>Month 18</c:v>
                </c:pt>
                <c:pt idx="18">
                  <c:v>Month 19</c:v>
                </c:pt>
                <c:pt idx="19">
                  <c:v>Month 20</c:v>
                </c:pt>
                <c:pt idx="20">
                  <c:v>Month 21</c:v>
                </c:pt>
                <c:pt idx="21">
                  <c:v>Month 22</c:v>
                </c:pt>
                <c:pt idx="22">
                  <c:v>Month 23</c:v>
                </c:pt>
                <c:pt idx="23">
                  <c:v>Month 24</c:v>
                </c:pt>
                <c:pt idx="24">
                  <c:v>Month 25</c:v>
                </c:pt>
                <c:pt idx="25">
                  <c:v>Month 26</c:v>
                </c:pt>
                <c:pt idx="26">
                  <c:v>Month 27</c:v>
                </c:pt>
                <c:pt idx="27">
                  <c:v>Month 28</c:v>
                </c:pt>
                <c:pt idx="28">
                  <c:v>Month 29</c:v>
                </c:pt>
                <c:pt idx="29">
                  <c:v>Month 30</c:v>
                </c:pt>
                <c:pt idx="30">
                  <c:v>Month 31</c:v>
                </c:pt>
                <c:pt idx="31">
                  <c:v>Month 32</c:v>
                </c:pt>
                <c:pt idx="32">
                  <c:v>Month 33</c:v>
                </c:pt>
                <c:pt idx="33">
                  <c:v>Month 34</c:v>
                </c:pt>
                <c:pt idx="34">
                  <c:v>Month 35</c:v>
                </c:pt>
                <c:pt idx="35">
                  <c:v>Month 36</c:v>
                </c:pt>
              </c:strCache>
            </c:strRef>
          </c:cat>
          <c:val>
            <c:numRef>
              <c:f>Old!$E$7:$E$42</c:f>
              <c:numCache>
                <c:formatCode>_ * #,##0_ ;_ * \-#,##0_ ;_ * "-"??_ ;_ @_ </c:formatCode>
                <c:ptCount val="36"/>
                <c:pt idx="0">
                  <c:v>1909468.75</c:v>
                </c:pt>
                <c:pt idx="1">
                  <c:v>1875596.5899566817</c:v>
                </c:pt>
                <c:pt idx="2">
                  <c:v>1840905.8527123167</c:v>
                </c:pt>
                <c:pt idx="3">
                  <c:v>1805376.7559845462</c:v>
                </c:pt>
                <c:pt idx="4">
                  <c:v>1768989.0394191877</c:v>
                </c:pt>
                <c:pt idx="5">
                  <c:v>1731721.9530368331</c:v>
                </c:pt>
                <c:pt idx="6">
                  <c:v>1693554.2454002381</c:v>
                </c:pt>
                <c:pt idx="7">
                  <c:v>1654464.1514957589</c:v>
                </c:pt>
                <c:pt idx="8">
                  <c:v>1614429.3803219215</c:v>
                </c:pt>
                <c:pt idx="9">
                  <c:v>1573427.1021780497</c:v>
                </c:pt>
                <c:pt idx="10">
                  <c:v>1531433.9356457011</c:v>
                </c:pt>
                <c:pt idx="11">
                  <c:v>1488425.9342554875</c:v>
                </c:pt>
                <c:pt idx="12">
                  <c:v>1444378.5728316768</c:v>
                </c:pt>
                <c:pt idx="13">
                  <c:v>1399266.7335067908</c:v>
                </c:pt>
                <c:pt idx="14">
                  <c:v>1353064.6913982199</c:v>
                </c:pt>
                <c:pt idx="15">
                  <c:v>1305746.0999386921</c:v>
                </c:pt>
                <c:pt idx="16">
                  <c:v>1257283.9758522257</c:v>
                </c:pt>
                <c:pt idx="17">
                  <c:v>1207650.683767003</c:v>
                </c:pt>
                <c:pt idx="18">
                  <c:v>1156817.9204563873</c:v>
                </c:pt>
                <c:pt idx="19">
                  <c:v>1104756.6986990985</c:v>
                </c:pt>
                <c:pt idx="20">
                  <c:v>1051437.330749342</c:v>
                </c:pt>
                <c:pt idx="21">
                  <c:v>996829.41140746628</c:v>
                </c:pt>
                <c:pt idx="22">
                  <c:v>940901.80068149522</c:v>
                </c:pt>
                <c:pt idx="23">
                  <c:v>883622.60602964647</c:v>
                </c:pt>
                <c:pt idx="24">
                  <c:v>824959.16417371144</c:v>
                </c:pt>
                <c:pt idx="25">
                  <c:v>764878.02247292467</c:v>
                </c:pt>
                <c:pt idx="26">
                  <c:v>703344.91984770214</c:v>
                </c:pt>
                <c:pt idx="27">
                  <c:v>640324.76724237017</c:v>
                </c:pt>
                <c:pt idx="28">
                  <c:v>575781.62761574262</c:v>
                </c:pt>
                <c:pt idx="29">
                  <c:v>509678.69544813817</c:v>
                </c:pt>
                <c:pt idx="30">
                  <c:v>441978.27575315</c:v>
                </c:pt>
                <c:pt idx="31">
                  <c:v>372641.76258219965</c:v>
                </c:pt>
                <c:pt idx="32">
                  <c:v>301629.61700961791</c:v>
                </c:pt>
                <c:pt idx="33">
                  <c:v>228901.34458569888</c:v>
                </c:pt>
                <c:pt idx="34">
                  <c:v>154415.47224486843</c:v>
                </c:pt>
                <c:pt idx="35">
                  <c:v>78129.524655801244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562-48BE-851A-960645FE5135}"/>
            </c:ext>
          </c:extLst>
        </c:ser>
        <c:ser>
          <c:idx val="1"/>
          <c:order val="1"/>
          <c:tx>
            <c:strRef>
              <c:f>Old!$F$6</c:f>
              <c:strCache>
                <c:ptCount val="1"/>
                <c:pt idx="0">
                  <c:v>Principal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delete val="1"/>
          </c:dLbls>
          <c:cat>
            <c:strRef>
              <c:f>Old!$A$7:$A$42</c:f>
              <c:strCache>
                <c:ptCount val="36"/>
                <c:pt idx="0">
                  <c:v>Month 1</c:v>
                </c:pt>
                <c:pt idx="1">
                  <c:v>Month 2</c:v>
                </c:pt>
                <c:pt idx="2">
                  <c:v>Month 3</c:v>
                </c:pt>
                <c:pt idx="3">
                  <c:v>Month 4</c:v>
                </c:pt>
                <c:pt idx="4">
                  <c:v>Month 5</c:v>
                </c:pt>
                <c:pt idx="5">
                  <c:v>Month 6</c:v>
                </c:pt>
                <c:pt idx="6">
                  <c:v>Month 7</c:v>
                </c:pt>
                <c:pt idx="7">
                  <c:v>Month 8</c:v>
                </c:pt>
                <c:pt idx="8">
                  <c:v>Month 9</c:v>
                </c:pt>
                <c:pt idx="9">
                  <c:v>Month 10</c:v>
                </c:pt>
                <c:pt idx="10">
                  <c:v>Month 11</c:v>
                </c:pt>
                <c:pt idx="11">
                  <c:v>Month 12</c:v>
                </c:pt>
                <c:pt idx="12">
                  <c:v>Month 13</c:v>
                </c:pt>
                <c:pt idx="13">
                  <c:v>Month 14</c:v>
                </c:pt>
                <c:pt idx="14">
                  <c:v>Month 15</c:v>
                </c:pt>
                <c:pt idx="15">
                  <c:v>Month 16</c:v>
                </c:pt>
                <c:pt idx="16">
                  <c:v>Month 17</c:v>
                </c:pt>
                <c:pt idx="17">
                  <c:v>Month 18</c:v>
                </c:pt>
                <c:pt idx="18">
                  <c:v>Month 19</c:v>
                </c:pt>
                <c:pt idx="19">
                  <c:v>Month 20</c:v>
                </c:pt>
                <c:pt idx="20">
                  <c:v>Month 21</c:v>
                </c:pt>
                <c:pt idx="21">
                  <c:v>Month 22</c:v>
                </c:pt>
                <c:pt idx="22">
                  <c:v>Month 23</c:v>
                </c:pt>
                <c:pt idx="23">
                  <c:v>Month 24</c:v>
                </c:pt>
                <c:pt idx="24">
                  <c:v>Month 25</c:v>
                </c:pt>
                <c:pt idx="25">
                  <c:v>Month 26</c:v>
                </c:pt>
                <c:pt idx="26">
                  <c:v>Month 27</c:v>
                </c:pt>
                <c:pt idx="27">
                  <c:v>Month 28</c:v>
                </c:pt>
                <c:pt idx="28">
                  <c:v>Month 29</c:v>
                </c:pt>
                <c:pt idx="29">
                  <c:v>Month 30</c:v>
                </c:pt>
                <c:pt idx="30">
                  <c:v>Month 31</c:v>
                </c:pt>
                <c:pt idx="31">
                  <c:v>Month 32</c:v>
                </c:pt>
                <c:pt idx="32">
                  <c:v>Month 33</c:v>
                </c:pt>
                <c:pt idx="33">
                  <c:v>Month 34</c:v>
                </c:pt>
                <c:pt idx="34">
                  <c:v>Month 35</c:v>
                </c:pt>
                <c:pt idx="35">
                  <c:v>Month 36</c:v>
                </c:pt>
              </c:strCache>
            </c:strRef>
          </c:cat>
          <c:val>
            <c:numRef>
              <c:f>Old!$F$7:$F$42</c:f>
              <c:numCache>
                <c:formatCode>_ * #,##0_ ;_ * \-#,##0_ ;_ * "-"??_ ;_ @_ </c:formatCode>
                <c:ptCount val="36"/>
                <c:pt idx="0">
                  <c:v>1401606.6224821317</c:v>
                </c:pt>
                <c:pt idx="1">
                  <c:v>1435478.78252545</c:v>
                </c:pt>
                <c:pt idx="2">
                  <c:v>1470169.519769815</c:v>
                </c:pt>
                <c:pt idx="3">
                  <c:v>1505698.6164975855</c:v>
                </c:pt>
                <c:pt idx="4">
                  <c:v>1542086.333062944</c:v>
                </c:pt>
                <c:pt idx="5">
                  <c:v>1579353.4194452986</c:v>
                </c:pt>
                <c:pt idx="6">
                  <c:v>1617521.1270818936</c:v>
                </c:pt>
                <c:pt idx="7">
                  <c:v>1656611.2209863728</c:v>
                </c:pt>
                <c:pt idx="8">
                  <c:v>1696645.9921602102</c:v>
                </c:pt>
                <c:pt idx="9">
                  <c:v>1737648.270304082</c:v>
                </c:pt>
                <c:pt idx="10">
                  <c:v>1779641.4368364306</c:v>
                </c:pt>
                <c:pt idx="11">
                  <c:v>1822649.4382266442</c:v>
                </c:pt>
                <c:pt idx="12">
                  <c:v>1866696.7996504549</c:v>
                </c:pt>
                <c:pt idx="13">
                  <c:v>1911808.6389753409</c:v>
                </c:pt>
                <c:pt idx="14">
                  <c:v>1958010.6810839118</c:v>
                </c:pt>
                <c:pt idx="15">
                  <c:v>2005329.2725434396</c:v>
                </c:pt>
                <c:pt idx="16">
                  <c:v>2053791.396629906</c:v>
                </c:pt>
                <c:pt idx="17">
                  <c:v>2103424.6887151287</c:v>
                </c:pt>
                <c:pt idx="18">
                  <c:v>2154257.4520257441</c:v>
                </c:pt>
                <c:pt idx="19">
                  <c:v>2206318.6737830332</c:v>
                </c:pt>
                <c:pt idx="20">
                  <c:v>2259638.0417327899</c:v>
                </c:pt>
                <c:pt idx="21">
                  <c:v>2314245.9610746652</c:v>
                </c:pt>
                <c:pt idx="22">
                  <c:v>2370173.5718006366</c:v>
                </c:pt>
                <c:pt idx="23">
                  <c:v>2427452.7664524852</c:v>
                </c:pt>
                <c:pt idx="24">
                  <c:v>2486116.2083084201</c:v>
                </c:pt>
                <c:pt idx="25">
                  <c:v>2546197.3500092071</c:v>
                </c:pt>
                <c:pt idx="26">
                  <c:v>2607730.4526344296</c:v>
                </c:pt>
                <c:pt idx="27">
                  <c:v>2670750.6052397615</c:v>
                </c:pt>
                <c:pt idx="28">
                  <c:v>2735293.7448663888</c:v>
                </c:pt>
                <c:pt idx="29">
                  <c:v>2801396.6770339934</c:v>
                </c:pt>
                <c:pt idx="30">
                  <c:v>2869097.0967289815</c:v>
                </c:pt>
                <c:pt idx="31">
                  <c:v>2938433.6098999321</c:v>
                </c:pt>
                <c:pt idx="32">
                  <c:v>3009445.7554725138</c:v>
                </c:pt>
                <c:pt idx="33">
                  <c:v>3082174.0278964327</c:v>
                </c:pt>
                <c:pt idx="34">
                  <c:v>3156659.9002372632</c:v>
                </c:pt>
                <c:pt idx="35">
                  <c:v>3232945.8478263305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562-48BE-851A-960645FE5135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axId val="529696320"/>
        <c:axId val="641379392"/>
      </c:barChart>
      <c:catAx>
        <c:axId val="5296963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1379392"/>
        <c:crosses val="autoZero"/>
        <c:auto val="1"/>
        <c:lblAlgn val="ctr"/>
        <c:lblOffset val="100"/>
        <c:noMultiLvlLbl val="0"/>
      </c:catAx>
      <c:valAx>
        <c:axId val="641379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_ * #,##0_ ;_ * \-#,##0_ ;_ * &quot;-&quot;??_ ;_ 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96963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9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spPr>
      <a:ln w="12700" cap="flat" cmpd="sng" algn="ctr">
        <a:solidFill>
          <a:schemeClr val="lt1"/>
        </a:solidFill>
        <a:round/>
      </a:ln>
    </cs:spPr>
    <cs:defRPr sz="900" kern="1200" spc="10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34925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22225">
        <a:solidFill>
          <a:schemeClr val="lt1"/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lt1"/>
            </a:gs>
            <a:gs pos="100000">
              <a:schemeClr val="lt1">
                <a:alpha val="0"/>
              </a:schemeClr>
            </a:gs>
          </a:gsLst>
          <a:lin ang="5400000" scaled="0"/>
        </a:gradFill>
        <a:round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209549</xdr:colOff>
      <xdr:row>5</xdr:row>
      <xdr:rowOff>142875</xdr:rowOff>
    </xdr:from>
    <xdr:to>
      <xdr:col>2</xdr:col>
      <xdr:colOff>664844</xdr:colOff>
      <xdr:row>14</xdr:row>
      <xdr:rowOff>160020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9DBAE43F-7889-4C33-A4DD-8C443E8D8818}"/>
            </a:ext>
          </a:extLst>
        </xdr:cNvPr>
        <xdr:cNvSpPr/>
      </xdr:nvSpPr>
      <xdr:spPr>
        <a:xfrm>
          <a:off x="314324" y="733425"/>
          <a:ext cx="1645920" cy="1645920"/>
        </a:xfrm>
        <a:prstGeom prst="round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sz="1200" b="1">
              <a:latin typeface="Bahnschrift Condensed" panose="020B0502040204020203" pitchFamily="34" charset="0"/>
            </a:rPr>
            <a:t>Original Loan</a:t>
          </a:r>
        </a:p>
        <a:p>
          <a:pPr algn="l"/>
          <a:endParaRPr lang="en-US" sz="1100">
            <a:latin typeface="Bahnschrift Condensed" panose="020B0502040204020203" pitchFamily="34" charset="0"/>
          </a:endParaRPr>
        </a:p>
        <a:p>
          <a:pPr algn="l"/>
          <a:endParaRPr lang="en-US" sz="1100">
            <a:latin typeface="Bahnschrift Condensed" panose="020B0502040204020203" pitchFamily="34" charset="0"/>
          </a:endParaRPr>
        </a:p>
        <a:p>
          <a:pPr algn="l"/>
          <a:endParaRPr lang="en-US" sz="1100">
            <a:latin typeface="Bahnschrift Condensed" panose="020B0502040204020203" pitchFamily="34" charset="0"/>
          </a:endParaRPr>
        </a:p>
      </xdr:txBody>
    </xdr:sp>
    <xdr:clientData/>
  </xdr:twoCellAnchor>
  <xdr:twoCellAnchor>
    <xdr:from>
      <xdr:col>2</xdr:col>
      <xdr:colOff>900112</xdr:colOff>
      <xdr:row>5</xdr:row>
      <xdr:rowOff>142875</xdr:rowOff>
    </xdr:from>
    <xdr:to>
      <xdr:col>4</xdr:col>
      <xdr:colOff>88582</xdr:colOff>
      <xdr:row>14</xdr:row>
      <xdr:rowOff>160020</xdr:rowOff>
    </xdr:to>
    <xdr:sp macro="" textlink="">
      <xdr:nvSpPr>
        <xdr:cNvPr id="4" name="Rectangle: Rounded Corners 3">
          <a:extLst>
            <a:ext uri="{FF2B5EF4-FFF2-40B4-BE49-F238E27FC236}">
              <a16:creationId xmlns:a16="http://schemas.microsoft.com/office/drawing/2014/main" id="{07D5237B-A206-422E-8CD1-46C35333E672}"/>
            </a:ext>
          </a:extLst>
        </xdr:cNvPr>
        <xdr:cNvSpPr/>
      </xdr:nvSpPr>
      <xdr:spPr>
        <a:xfrm>
          <a:off x="2195512" y="733425"/>
          <a:ext cx="1645920" cy="1645920"/>
        </a:xfrm>
        <a:prstGeom prst="round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sz="1100" b="1">
              <a:latin typeface="Bahnschrift Condensed" panose="020B0502040204020203" pitchFamily="34" charset="0"/>
            </a:rPr>
            <a:t>Remaining Balance</a:t>
          </a:r>
        </a:p>
      </xdr:txBody>
    </xdr:sp>
    <xdr:clientData/>
  </xdr:twoCellAnchor>
  <xdr:twoCellAnchor>
    <xdr:from>
      <xdr:col>4</xdr:col>
      <xdr:colOff>323849</xdr:colOff>
      <xdr:row>5</xdr:row>
      <xdr:rowOff>142875</xdr:rowOff>
    </xdr:from>
    <xdr:to>
      <xdr:col>7</xdr:col>
      <xdr:colOff>83819</xdr:colOff>
      <xdr:row>14</xdr:row>
      <xdr:rowOff>160020</xdr:rowOff>
    </xdr:to>
    <xdr:sp macro="" textlink="">
      <xdr:nvSpPr>
        <xdr:cNvPr id="5" name="Rectangle: Rounded Corners 4">
          <a:extLst>
            <a:ext uri="{FF2B5EF4-FFF2-40B4-BE49-F238E27FC236}">
              <a16:creationId xmlns:a16="http://schemas.microsoft.com/office/drawing/2014/main" id="{B575E424-F987-4379-B06D-408D3396710B}"/>
            </a:ext>
          </a:extLst>
        </xdr:cNvPr>
        <xdr:cNvSpPr/>
      </xdr:nvSpPr>
      <xdr:spPr>
        <a:xfrm>
          <a:off x="4076699" y="733425"/>
          <a:ext cx="1645920" cy="1645920"/>
        </a:xfrm>
        <a:prstGeom prst="round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sz="1100" b="1">
              <a:latin typeface="Bahnschrift Condensed" panose="020B0502040204020203" pitchFamily="34" charset="0"/>
            </a:rPr>
            <a:t>Loan Progress</a:t>
          </a:r>
        </a:p>
      </xdr:txBody>
    </xdr:sp>
    <xdr:clientData/>
  </xdr:twoCellAnchor>
  <xdr:twoCellAnchor>
    <xdr:from>
      <xdr:col>1</xdr:col>
      <xdr:colOff>161924</xdr:colOff>
      <xdr:row>16</xdr:row>
      <xdr:rowOff>19050</xdr:rowOff>
    </xdr:from>
    <xdr:to>
      <xdr:col>2</xdr:col>
      <xdr:colOff>617219</xdr:colOff>
      <xdr:row>25</xdr:row>
      <xdr:rowOff>36195</xdr:rowOff>
    </xdr:to>
    <xdr:sp macro="" textlink="">
      <xdr:nvSpPr>
        <xdr:cNvPr id="12" name="Rectangle: Rounded Corners 11">
          <a:extLst>
            <a:ext uri="{FF2B5EF4-FFF2-40B4-BE49-F238E27FC236}">
              <a16:creationId xmlns:a16="http://schemas.microsoft.com/office/drawing/2014/main" id="{A97A1B8A-1E91-4A80-879B-A4584F4A9CF3}"/>
            </a:ext>
          </a:extLst>
        </xdr:cNvPr>
        <xdr:cNvSpPr/>
      </xdr:nvSpPr>
      <xdr:spPr>
        <a:xfrm>
          <a:off x="266699" y="2600325"/>
          <a:ext cx="1645920" cy="1645920"/>
        </a:xfrm>
        <a:prstGeom prst="round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sz="1100" b="1">
              <a:latin typeface="Bahnschrift Condensed" panose="020B0502040204020203" pitchFamily="34" charset="0"/>
            </a:rPr>
            <a:t>Total Interest</a:t>
          </a:r>
        </a:p>
      </xdr:txBody>
    </xdr:sp>
    <xdr:clientData/>
  </xdr:twoCellAnchor>
  <xdr:twoCellAnchor>
    <xdr:from>
      <xdr:col>2</xdr:col>
      <xdr:colOff>881061</xdr:colOff>
      <xdr:row>16</xdr:row>
      <xdr:rowOff>19050</xdr:rowOff>
    </xdr:from>
    <xdr:to>
      <xdr:col>4</xdr:col>
      <xdr:colOff>69531</xdr:colOff>
      <xdr:row>25</xdr:row>
      <xdr:rowOff>36195</xdr:rowOff>
    </xdr:to>
    <xdr:sp macro="" textlink="">
      <xdr:nvSpPr>
        <xdr:cNvPr id="13" name="Rectangle: Rounded Corners 12">
          <a:extLst>
            <a:ext uri="{FF2B5EF4-FFF2-40B4-BE49-F238E27FC236}">
              <a16:creationId xmlns:a16="http://schemas.microsoft.com/office/drawing/2014/main" id="{D9C51A13-0204-4665-BFB8-3A61ED51B7D0}"/>
            </a:ext>
          </a:extLst>
        </xdr:cNvPr>
        <xdr:cNvSpPr/>
      </xdr:nvSpPr>
      <xdr:spPr>
        <a:xfrm>
          <a:off x="2176461" y="2600325"/>
          <a:ext cx="1645920" cy="1645920"/>
        </a:xfrm>
        <a:prstGeom prst="round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sz="1100" b="1">
              <a:latin typeface="Bahnschrift Condensed" panose="020B0502040204020203" pitchFamily="34" charset="0"/>
            </a:rPr>
            <a:t>Total Principal</a:t>
          </a:r>
        </a:p>
      </xdr:txBody>
    </xdr:sp>
    <xdr:clientData/>
  </xdr:twoCellAnchor>
  <xdr:twoCellAnchor>
    <xdr:from>
      <xdr:col>4</xdr:col>
      <xdr:colOff>361949</xdr:colOff>
      <xdr:row>16</xdr:row>
      <xdr:rowOff>19050</xdr:rowOff>
    </xdr:from>
    <xdr:to>
      <xdr:col>7</xdr:col>
      <xdr:colOff>121919</xdr:colOff>
      <xdr:row>25</xdr:row>
      <xdr:rowOff>36195</xdr:rowOff>
    </xdr:to>
    <xdr:sp macro="" textlink="">
      <xdr:nvSpPr>
        <xdr:cNvPr id="14" name="Rectangle: Rounded Corners 13">
          <a:extLst>
            <a:ext uri="{FF2B5EF4-FFF2-40B4-BE49-F238E27FC236}">
              <a16:creationId xmlns:a16="http://schemas.microsoft.com/office/drawing/2014/main" id="{96299816-F95B-4DFA-A5A7-E93B511C1BA2}"/>
            </a:ext>
          </a:extLst>
        </xdr:cNvPr>
        <xdr:cNvSpPr/>
      </xdr:nvSpPr>
      <xdr:spPr>
        <a:xfrm>
          <a:off x="4114799" y="2600325"/>
          <a:ext cx="1645920" cy="1645920"/>
        </a:xfrm>
        <a:prstGeom prst="round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sz="1100" b="1">
              <a:latin typeface="Bahnschrift Condensed" panose="020B0502040204020203" pitchFamily="34" charset="0"/>
            </a:rPr>
            <a:t>Extra Principal</a:t>
          </a:r>
        </a:p>
      </xdr:txBody>
    </xdr:sp>
    <xdr:clientData/>
  </xdr:twoCellAnchor>
  <xdr:twoCellAnchor>
    <xdr:from>
      <xdr:col>1</xdr:col>
      <xdr:colOff>276226</xdr:colOff>
      <xdr:row>9</xdr:row>
      <xdr:rowOff>152400</xdr:rowOff>
    </xdr:from>
    <xdr:to>
      <xdr:col>2</xdr:col>
      <xdr:colOff>514351</xdr:colOff>
      <xdr:row>13</xdr:row>
      <xdr:rowOff>104775</xdr:rowOff>
    </xdr:to>
    <xdr:sp macro="" textlink="New!B14">
      <xdr:nvSpPr>
        <xdr:cNvPr id="17" name="TextBox 16">
          <a:extLst>
            <a:ext uri="{FF2B5EF4-FFF2-40B4-BE49-F238E27FC236}">
              <a16:creationId xmlns:a16="http://schemas.microsoft.com/office/drawing/2014/main" id="{F14FB7AA-CE5F-43CC-A978-5C7A4D85C791}"/>
            </a:ext>
          </a:extLst>
        </xdr:cNvPr>
        <xdr:cNvSpPr txBox="1"/>
      </xdr:nvSpPr>
      <xdr:spPr>
        <a:xfrm>
          <a:off x="381001" y="1924050"/>
          <a:ext cx="1428750" cy="676275"/>
        </a:xfrm>
        <a:prstGeom prst="rect">
          <a:avLst/>
        </a:prstGeom>
        <a:solidFill>
          <a:schemeClr val="bg1"/>
        </a:solidFill>
        <a:ln w="9525" cmpd="sng"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DEE2C6E1-4BA0-481A-8D34-C3C37DE40412}" type="TxLink">
            <a:rPr lang="en-US" sz="1500" b="1" i="0" u="none" strike="noStrike">
              <a:solidFill>
                <a:srgbClr val="000000"/>
              </a:solidFill>
              <a:latin typeface="Bahnschrift Condensed"/>
            </a:rPr>
            <a:pPr/>
            <a:t> ₦79,012,500 </a:t>
          </a:fld>
          <a:endParaRPr lang="en-US" sz="1500" b="1"/>
        </a:p>
      </xdr:txBody>
    </xdr:sp>
    <xdr:clientData/>
  </xdr:twoCellAnchor>
  <xdr:twoCellAnchor>
    <xdr:from>
      <xdr:col>2</xdr:col>
      <xdr:colOff>1062037</xdr:colOff>
      <xdr:row>9</xdr:row>
      <xdr:rowOff>161925</xdr:rowOff>
    </xdr:from>
    <xdr:to>
      <xdr:col>4</xdr:col>
      <xdr:colOff>33337</xdr:colOff>
      <xdr:row>13</xdr:row>
      <xdr:rowOff>114300</xdr:rowOff>
    </xdr:to>
    <xdr:sp macro="" textlink="New!B19">
      <xdr:nvSpPr>
        <xdr:cNvPr id="18" name="TextBox 17">
          <a:extLst>
            <a:ext uri="{FF2B5EF4-FFF2-40B4-BE49-F238E27FC236}">
              <a16:creationId xmlns:a16="http://schemas.microsoft.com/office/drawing/2014/main" id="{73596EA7-30A7-443A-8399-06D12DE56897}"/>
            </a:ext>
          </a:extLst>
        </xdr:cNvPr>
        <xdr:cNvSpPr txBox="1"/>
      </xdr:nvSpPr>
      <xdr:spPr>
        <a:xfrm>
          <a:off x="2357437" y="1933575"/>
          <a:ext cx="1428750" cy="676275"/>
        </a:xfrm>
        <a:prstGeom prst="rect">
          <a:avLst/>
        </a:prstGeom>
        <a:solidFill>
          <a:schemeClr val="bg1"/>
        </a:solidFill>
        <a:ln w="9525" cmpd="sng"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D498F609-57A8-4645-90B6-C9A1092D20DD}" type="TxLink">
            <a:rPr lang="en-US" sz="1500" b="1" i="0" u="none" strike="noStrike">
              <a:solidFill>
                <a:srgbClr val="000000"/>
              </a:solidFill>
              <a:latin typeface="Bahnschrift Condensed"/>
            </a:rPr>
            <a:pPr/>
            <a:t> ₦-   </a:t>
          </a:fld>
          <a:endParaRPr lang="en-US" sz="1500" b="1"/>
        </a:p>
      </xdr:txBody>
    </xdr:sp>
    <xdr:clientData/>
  </xdr:twoCellAnchor>
  <xdr:twoCellAnchor>
    <xdr:from>
      <xdr:col>4</xdr:col>
      <xdr:colOff>409574</xdr:colOff>
      <xdr:row>10</xdr:row>
      <xdr:rowOff>0</xdr:rowOff>
    </xdr:from>
    <xdr:to>
      <xdr:col>6</xdr:col>
      <xdr:colOff>561974</xdr:colOff>
      <xdr:row>13</xdr:row>
      <xdr:rowOff>133350</xdr:rowOff>
    </xdr:to>
    <xdr:sp macro="" textlink="New!B20">
      <xdr:nvSpPr>
        <xdr:cNvPr id="19" name="TextBox 18">
          <a:extLst>
            <a:ext uri="{FF2B5EF4-FFF2-40B4-BE49-F238E27FC236}">
              <a16:creationId xmlns:a16="http://schemas.microsoft.com/office/drawing/2014/main" id="{82BF04D2-8010-455C-91E9-16ED46AB4610}"/>
            </a:ext>
          </a:extLst>
        </xdr:cNvPr>
        <xdr:cNvSpPr txBox="1"/>
      </xdr:nvSpPr>
      <xdr:spPr>
        <a:xfrm>
          <a:off x="4162424" y="1952625"/>
          <a:ext cx="1428750" cy="676275"/>
        </a:xfrm>
        <a:prstGeom prst="rect">
          <a:avLst/>
        </a:prstGeom>
        <a:solidFill>
          <a:schemeClr val="bg1"/>
        </a:solidFill>
        <a:ln w="9525" cmpd="sng"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CF4F79D5-8A38-467B-933D-7B4881EF2603}" type="TxLink">
            <a:rPr lang="en-US" sz="1500" b="1" i="0" u="none" strike="noStrike">
              <a:solidFill>
                <a:srgbClr val="000000"/>
              </a:solidFill>
              <a:latin typeface="Bahnschrift Condensed"/>
            </a:rPr>
            <a:pPr/>
            <a:t>100%</a:t>
          </a:fld>
          <a:endParaRPr lang="en-US" sz="1500" b="1"/>
        </a:p>
      </xdr:txBody>
    </xdr:sp>
    <xdr:clientData/>
  </xdr:twoCellAnchor>
  <xdr:twoCellAnchor>
    <xdr:from>
      <xdr:col>1</xdr:col>
      <xdr:colOff>238124</xdr:colOff>
      <xdr:row>20</xdr:row>
      <xdr:rowOff>95250</xdr:rowOff>
    </xdr:from>
    <xdr:to>
      <xdr:col>2</xdr:col>
      <xdr:colOff>476249</xdr:colOff>
      <xdr:row>24</xdr:row>
      <xdr:rowOff>47625</xdr:rowOff>
    </xdr:to>
    <xdr:sp macro="" textlink="New!B16">
      <xdr:nvSpPr>
        <xdr:cNvPr id="20" name="TextBox 19">
          <a:extLst>
            <a:ext uri="{FF2B5EF4-FFF2-40B4-BE49-F238E27FC236}">
              <a16:creationId xmlns:a16="http://schemas.microsoft.com/office/drawing/2014/main" id="{A55E3472-F2F2-494B-9E68-74906A95EDAB}"/>
            </a:ext>
          </a:extLst>
        </xdr:cNvPr>
        <xdr:cNvSpPr txBox="1"/>
      </xdr:nvSpPr>
      <xdr:spPr>
        <a:xfrm>
          <a:off x="342899" y="3857625"/>
          <a:ext cx="1428750" cy="676275"/>
        </a:xfrm>
        <a:prstGeom prst="rect">
          <a:avLst/>
        </a:prstGeom>
        <a:solidFill>
          <a:schemeClr val="bg1"/>
        </a:solidFill>
        <a:ln w="9525" cmpd="sng"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11CB560B-0456-492E-9D1D-D60749606C06}" type="TxLink">
            <a:rPr lang="en-US" sz="1500" b="1" i="0" u="none" strike="noStrike">
              <a:solidFill>
                <a:srgbClr val="000000"/>
              </a:solidFill>
              <a:latin typeface="Bahnschrift Condensed"/>
            </a:rPr>
            <a:pPr/>
            <a:t> ₦40,186,213 </a:t>
          </a:fld>
          <a:endParaRPr lang="en-US" sz="1500" b="1"/>
        </a:p>
      </xdr:txBody>
    </xdr:sp>
    <xdr:clientData/>
  </xdr:twoCellAnchor>
  <xdr:twoCellAnchor>
    <xdr:from>
      <xdr:col>2</xdr:col>
      <xdr:colOff>976311</xdr:colOff>
      <xdr:row>20</xdr:row>
      <xdr:rowOff>114300</xdr:rowOff>
    </xdr:from>
    <xdr:to>
      <xdr:col>3</xdr:col>
      <xdr:colOff>1109661</xdr:colOff>
      <xdr:row>24</xdr:row>
      <xdr:rowOff>66675</xdr:rowOff>
    </xdr:to>
    <xdr:sp macro="" textlink="New!B17">
      <xdr:nvSpPr>
        <xdr:cNvPr id="21" name="TextBox 20">
          <a:extLst>
            <a:ext uri="{FF2B5EF4-FFF2-40B4-BE49-F238E27FC236}">
              <a16:creationId xmlns:a16="http://schemas.microsoft.com/office/drawing/2014/main" id="{97ED468F-6C00-4B6D-802E-9F84C909A349}"/>
            </a:ext>
          </a:extLst>
        </xdr:cNvPr>
        <xdr:cNvSpPr txBox="1"/>
      </xdr:nvSpPr>
      <xdr:spPr>
        <a:xfrm>
          <a:off x="2271711" y="3876675"/>
          <a:ext cx="1428750" cy="676275"/>
        </a:xfrm>
        <a:prstGeom prst="rect">
          <a:avLst/>
        </a:prstGeom>
        <a:solidFill>
          <a:schemeClr val="bg1"/>
        </a:solidFill>
        <a:ln w="9525" cmpd="sng"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977062C0-2999-400D-8DCE-979B8983F339}" type="TxLink">
            <a:rPr lang="en-US" sz="1500" b="1" i="0" u="none" strike="noStrike">
              <a:solidFill>
                <a:srgbClr val="000000"/>
              </a:solidFill>
              <a:latin typeface="Bahnschrift Condensed"/>
            </a:rPr>
            <a:pPr/>
            <a:t> ₦79,012,500 </a:t>
          </a:fld>
          <a:endParaRPr lang="en-US" sz="1500" b="1"/>
        </a:p>
      </xdr:txBody>
    </xdr:sp>
    <xdr:clientData/>
  </xdr:twoCellAnchor>
  <xdr:twoCellAnchor>
    <xdr:from>
      <xdr:col>4</xdr:col>
      <xdr:colOff>514349</xdr:colOff>
      <xdr:row>20</xdr:row>
      <xdr:rowOff>123825</xdr:rowOff>
    </xdr:from>
    <xdr:to>
      <xdr:col>7</xdr:col>
      <xdr:colOff>57149</xdr:colOff>
      <xdr:row>24</xdr:row>
      <xdr:rowOff>76200</xdr:rowOff>
    </xdr:to>
    <xdr:sp macro="" textlink="New!B18">
      <xdr:nvSpPr>
        <xdr:cNvPr id="22" name="TextBox 21">
          <a:extLst>
            <a:ext uri="{FF2B5EF4-FFF2-40B4-BE49-F238E27FC236}">
              <a16:creationId xmlns:a16="http://schemas.microsoft.com/office/drawing/2014/main" id="{E56F829C-A29F-4362-8238-3801C8D0D7BD}"/>
            </a:ext>
          </a:extLst>
        </xdr:cNvPr>
        <xdr:cNvSpPr txBox="1"/>
      </xdr:nvSpPr>
      <xdr:spPr>
        <a:xfrm>
          <a:off x="4267199" y="3886200"/>
          <a:ext cx="1428750" cy="676275"/>
        </a:xfrm>
        <a:prstGeom prst="rect">
          <a:avLst/>
        </a:prstGeom>
        <a:solidFill>
          <a:schemeClr val="bg1"/>
        </a:solidFill>
        <a:ln w="9525" cmpd="sng"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47206B73-42CA-44AB-B879-F9D3DA4C3EE5}" type="TxLink">
            <a:rPr lang="en-US" sz="1500" b="1" i="0" u="none" strike="noStrike">
              <a:solidFill>
                <a:srgbClr val="000000"/>
              </a:solidFill>
              <a:latin typeface="Bahnschrift Condensed"/>
            </a:rPr>
            <a:pPr/>
            <a:t> ₦-   </a:t>
          </a:fld>
          <a:endParaRPr lang="en-US" sz="1500" b="1"/>
        </a:p>
      </xdr:txBody>
    </xdr:sp>
    <xdr:clientData/>
  </xdr:twoCellAnchor>
  <xdr:twoCellAnchor>
    <xdr:from>
      <xdr:col>9</xdr:col>
      <xdr:colOff>114300</xdr:colOff>
      <xdr:row>2</xdr:row>
      <xdr:rowOff>9525</xdr:rowOff>
    </xdr:from>
    <xdr:to>
      <xdr:col>16</xdr:col>
      <xdr:colOff>590550</xdr:colOff>
      <xdr:row>16</xdr:row>
      <xdr:rowOff>171450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EA923624-6B38-406D-9F7C-293E05A38C4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161925</xdr:colOff>
      <xdr:row>19</xdr:row>
      <xdr:rowOff>0</xdr:rowOff>
    </xdr:from>
    <xdr:to>
      <xdr:col>16</xdr:col>
      <xdr:colOff>466725</xdr:colOff>
      <xdr:row>34</xdr:row>
      <xdr:rowOff>28575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B00B331B-B1FA-4302-8C71-D91440AF44A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028BDC-332A-49ED-BD84-D8E41673EF76}">
  <dimension ref="A1:I5"/>
  <sheetViews>
    <sheetView showGridLines="0" tabSelected="1" workbookViewId="0">
      <selection activeCell="H13" sqref="H13"/>
    </sheetView>
  </sheetViews>
  <sheetFormatPr defaultRowHeight="14.25"/>
  <cols>
    <col min="1" max="1" width="1.5703125" style="14" customWidth="1"/>
    <col min="2" max="2" width="17.85546875" style="14" bestFit="1" customWidth="1"/>
    <col min="3" max="3" width="19.42578125" style="14" customWidth="1"/>
    <col min="4" max="4" width="17.42578125" style="14" customWidth="1"/>
    <col min="5" max="5" width="9.140625" style="14"/>
    <col min="6" max="6" width="10" style="14" customWidth="1"/>
    <col min="7" max="16384" width="9.140625" style="14"/>
  </cols>
  <sheetData>
    <row r="1" spans="1:9" ht="18" customHeight="1">
      <c r="A1" s="31" t="s">
        <v>32</v>
      </c>
      <c r="B1" s="31"/>
      <c r="C1" s="31"/>
      <c r="D1" s="31"/>
      <c r="E1" s="31"/>
      <c r="F1" s="31"/>
      <c r="G1" s="31"/>
      <c r="H1" s="31"/>
      <c r="I1" s="27"/>
    </row>
    <row r="2" spans="1:9" ht="18" customHeight="1">
      <c r="A2" s="31"/>
      <c r="B2" s="31"/>
      <c r="C2" s="31"/>
      <c r="D2" s="31"/>
      <c r="E2" s="31"/>
      <c r="F2" s="31"/>
      <c r="G2" s="31"/>
      <c r="H2" s="31"/>
      <c r="I2" s="27"/>
    </row>
    <row r="3" spans="1:9" ht="18" customHeight="1">
      <c r="A3" s="31"/>
      <c r="B3" s="31"/>
      <c r="C3" s="31"/>
      <c r="D3" s="31"/>
      <c r="E3" s="31"/>
      <c r="F3" s="31"/>
      <c r="G3" s="31"/>
      <c r="H3" s="31"/>
      <c r="I3" s="27"/>
    </row>
    <row r="4" spans="1:9">
      <c r="A4" s="31"/>
      <c r="B4" s="31"/>
      <c r="C4" s="31"/>
      <c r="D4" s="31"/>
      <c r="E4" s="31"/>
      <c r="F4" s="31"/>
      <c r="G4" s="31"/>
      <c r="H4" s="31"/>
    </row>
    <row r="5" spans="1:9">
      <c r="A5" s="31"/>
      <c r="B5" s="31"/>
      <c r="C5" s="31"/>
      <c r="D5" s="31"/>
      <c r="E5" s="31"/>
      <c r="F5" s="31"/>
      <c r="G5" s="31"/>
      <c r="H5" s="31"/>
    </row>
  </sheetData>
  <mergeCells count="1">
    <mergeCell ref="A1:H5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C2A98E-B8F7-46A9-B76C-21914CFA3E8F}">
  <dimension ref="A2:H20"/>
  <sheetViews>
    <sheetView workbookViewId="0">
      <selection activeCell="D21" sqref="D21"/>
    </sheetView>
  </sheetViews>
  <sheetFormatPr defaultRowHeight="14.25"/>
  <cols>
    <col min="1" max="1" width="16.140625" style="14" bestFit="1" customWidth="1"/>
    <col min="2" max="2" width="15.42578125" style="14" bestFit="1" customWidth="1"/>
    <col min="3" max="16384" width="9.140625" style="14"/>
  </cols>
  <sheetData>
    <row r="2" spans="1:8" ht="15" thickBot="1"/>
    <row r="3" spans="1:8" ht="15" thickBot="1">
      <c r="A3" s="22" t="s">
        <v>18</v>
      </c>
      <c r="B3" s="15">
        <v>79012500</v>
      </c>
      <c r="D3" s="23" t="s">
        <v>13</v>
      </c>
      <c r="E3" s="14">
        <v>12</v>
      </c>
      <c r="G3" s="23" t="s">
        <v>13</v>
      </c>
      <c r="H3" s="14">
        <v>1</v>
      </c>
    </row>
    <row r="4" spans="1:8" ht="15" thickBot="1">
      <c r="A4" s="22" t="s">
        <v>17</v>
      </c>
      <c r="B4" s="16">
        <v>0.28999999999999998</v>
      </c>
      <c r="D4" s="23" t="s">
        <v>19</v>
      </c>
      <c r="E4" s="14">
        <v>4</v>
      </c>
      <c r="G4" s="23" t="s">
        <v>19</v>
      </c>
      <c r="H4" s="14">
        <v>3</v>
      </c>
    </row>
    <row r="5" spans="1:8" ht="15" thickBot="1">
      <c r="A5" s="22" t="s">
        <v>16</v>
      </c>
      <c r="B5" s="17">
        <v>3</v>
      </c>
      <c r="D5" s="23" t="s">
        <v>20</v>
      </c>
      <c r="E5" s="14">
        <v>1</v>
      </c>
      <c r="G5" s="23" t="s">
        <v>20</v>
      </c>
      <c r="H5" s="14">
        <v>12</v>
      </c>
    </row>
    <row r="6" spans="1:8" ht="15" thickBot="1">
      <c r="A6" s="22" t="s">
        <v>15</v>
      </c>
      <c r="B6" s="18">
        <v>46023</v>
      </c>
    </row>
    <row r="7" spans="1:8" ht="15" thickBot="1">
      <c r="A7" s="22" t="s">
        <v>14</v>
      </c>
      <c r="B7" s="17" t="s">
        <v>13</v>
      </c>
    </row>
    <row r="8" spans="1:8">
      <c r="A8" s="23" t="s">
        <v>21</v>
      </c>
      <c r="B8" s="14">
        <f>VLOOKUP(B7,D3:E5,2,FALSE)</f>
        <v>12</v>
      </c>
    </row>
    <row r="9" spans="1:8">
      <c r="A9" s="23" t="s">
        <v>23</v>
      </c>
      <c r="B9" s="14">
        <f>VLOOKUP(B7,G3:H5,2,FALSE)</f>
        <v>1</v>
      </c>
    </row>
    <row r="13" spans="1:8">
      <c r="A13" s="21" t="s">
        <v>25</v>
      </c>
    </row>
    <row r="14" spans="1:8">
      <c r="A14" s="21" t="s">
        <v>26</v>
      </c>
      <c r="B14" s="25">
        <f>B3</f>
        <v>79012500</v>
      </c>
    </row>
    <row r="15" spans="1:8">
      <c r="A15" s="21" t="s">
        <v>27</v>
      </c>
      <c r="B15" s="26">
        <f>Old!D44</f>
        <v>119198713.40935677</v>
      </c>
    </row>
    <row r="16" spans="1:8">
      <c r="A16" s="21" t="s">
        <v>28</v>
      </c>
      <c r="B16" s="25">
        <f>Old!E44</f>
        <v>40186213.409356691</v>
      </c>
    </row>
    <row r="17" spans="1:2">
      <c r="A17" s="21" t="s">
        <v>29</v>
      </c>
      <c r="B17" s="26">
        <f>Old!F44</f>
        <v>79012500.000000045</v>
      </c>
    </row>
    <row r="18" spans="1:2">
      <c r="A18" s="21" t="s">
        <v>30</v>
      </c>
      <c r="B18" s="25">
        <f>Old!G44</f>
        <v>0</v>
      </c>
    </row>
    <row r="19" spans="1:2">
      <c r="A19" s="21" t="s">
        <v>12</v>
      </c>
      <c r="B19" s="26">
        <f>Old!H42</f>
        <v>0</v>
      </c>
    </row>
    <row r="20" spans="1:2">
      <c r="A20" s="21" t="s">
        <v>31</v>
      </c>
      <c r="B20" s="20">
        <f>(B14-B19)/B14</f>
        <v>1</v>
      </c>
    </row>
  </sheetData>
  <conditionalFormatting sqref="B19">
    <cfRule type="cellIs" dxfId="0" priority="1" operator="equal">
      <formula>0</formula>
    </cfRule>
  </conditionalFormatting>
  <dataValidations count="1">
    <dataValidation type="list" allowBlank="1" showInputMessage="1" showErrorMessage="1" sqref="B7" xr:uid="{F88B241E-9828-4D36-B398-7DEB294510D5}">
      <formula1>"Monthly,Quarterly,Annual"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4"/>
  <sheetViews>
    <sheetView topLeftCell="A25" workbookViewId="0">
      <selection activeCell="E39" sqref="E39"/>
    </sheetView>
  </sheetViews>
  <sheetFormatPr defaultColWidth="8.7109375" defaultRowHeight="15"/>
  <cols>
    <col min="1" max="1" width="9.85546875" style="1" customWidth="1"/>
    <col min="2" max="2" width="17.42578125" style="1" bestFit="1" customWidth="1"/>
    <col min="3" max="3" width="20.5703125" style="1" customWidth="1"/>
    <col min="4" max="4" width="18.42578125" style="1" bestFit="1" customWidth="1"/>
    <col min="5" max="5" width="17.42578125" style="1" bestFit="1" customWidth="1"/>
    <col min="6" max="6" width="20" style="1" bestFit="1" customWidth="1"/>
    <col min="7" max="7" width="20" style="1" customWidth="1"/>
    <col min="8" max="8" width="15.7109375" style="1" customWidth="1"/>
    <col min="9" max="10" width="14" style="1" bestFit="1" customWidth="1"/>
    <col min="11" max="16384" width="8.7109375" style="1"/>
  </cols>
  <sheetData>
    <row r="1" spans="1:10">
      <c r="A1" s="2" t="s">
        <v>0</v>
      </c>
      <c r="B1" s="24">
        <f>New!B3</f>
        <v>79012500</v>
      </c>
      <c r="C1" s="2" t="s">
        <v>1</v>
      </c>
      <c r="D1" s="2">
        <f>New!B5*New!B8</f>
        <v>36</v>
      </c>
    </row>
    <row r="2" spans="1:10">
      <c r="A2" s="2" t="s">
        <v>2</v>
      </c>
      <c r="B2" s="2">
        <f>New!B5</f>
        <v>3</v>
      </c>
      <c r="C2" s="2" t="s">
        <v>22</v>
      </c>
      <c r="D2" s="3">
        <f>B3/New!B8</f>
        <v>2.4166666666666666E-2</v>
      </c>
    </row>
    <row r="3" spans="1:10">
      <c r="A3" s="2" t="s">
        <v>3</v>
      </c>
      <c r="B3" s="4">
        <f>New!B4</f>
        <v>0.28999999999999998</v>
      </c>
      <c r="C3" s="2" t="s">
        <v>4</v>
      </c>
      <c r="D3" s="5">
        <f>PMT(D2,D1,-B1,0)</f>
        <v>3311075.3724821317</v>
      </c>
      <c r="E3" s="12"/>
    </row>
    <row r="4" spans="1:10">
      <c r="A4" s="2" t="s">
        <v>5</v>
      </c>
      <c r="B4" s="6">
        <f>New!B6</f>
        <v>46023</v>
      </c>
      <c r="C4" s="2"/>
      <c r="D4" s="7"/>
    </row>
    <row r="5" spans="1:10">
      <c r="A5" s="8"/>
      <c r="B5" s="8"/>
      <c r="C5" s="8"/>
      <c r="D5" s="8"/>
    </row>
    <row r="6" spans="1:10" ht="31.5">
      <c r="A6" s="9" t="s">
        <v>6</v>
      </c>
      <c r="B6" s="9" t="s">
        <v>7</v>
      </c>
      <c r="C6" s="9" t="s">
        <v>8</v>
      </c>
      <c r="D6" s="9" t="s">
        <v>9</v>
      </c>
      <c r="E6" s="9" t="s">
        <v>10</v>
      </c>
      <c r="F6" s="9" t="s">
        <v>11</v>
      </c>
      <c r="G6" s="19" t="s">
        <v>24</v>
      </c>
      <c r="H6" s="9" t="s">
        <v>12</v>
      </c>
    </row>
    <row r="7" spans="1:10">
      <c r="A7" s="1" t="s">
        <v>33</v>
      </c>
      <c r="B7" s="10">
        <f>New!B6</f>
        <v>46023</v>
      </c>
      <c r="C7" s="28">
        <f>B1</f>
        <v>79012500</v>
      </c>
      <c r="D7" s="29">
        <f>IF(C7=0,0,$D$3)</f>
        <v>3311075.3724821317</v>
      </c>
      <c r="E7" s="28">
        <f>IF(C7=0,0,C7*$D$2)</f>
        <v>1909468.75</v>
      </c>
      <c r="F7" s="29">
        <f>IF(C7=0,0,D7-E7)</f>
        <v>1401606.6224821317</v>
      </c>
      <c r="G7" s="28"/>
      <c r="H7" s="28">
        <f>MAX(0,C7-F7-G7)</f>
        <v>77610893.377517864</v>
      </c>
      <c r="I7" s="13"/>
    </row>
    <row r="8" spans="1:10">
      <c r="A8" s="1" t="s">
        <v>34</v>
      </c>
      <c r="B8" s="10">
        <f>EDATE(B7,New!$B$9)</f>
        <v>46054</v>
      </c>
      <c r="C8" s="28">
        <f t="shared" ref="C8:C13" si="0">H7</f>
        <v>77610893.377517864</v>
      </c>
      <c r="D8" s="29">
        <f t="shared" ref="D8:D30" si="1">IF(C8=0,0,$D$3)</f>
        <v>3311075.3724821317</v>
      </c>
      <c r="E8" s="28">
        <f t="shared" ref="E8:E30" si="2">IF(C8=0,0,C8*$D$2)</f>
        <v>1875596.5899566817</v>
      </c>
      <c r="F8" s="29">
        <f t="shared" ref="F8:F42" si="3">IF(C8=0,0,D8-E8)</f>
        <v>1435478.78252545</v>
      </c>
      <c r="G8" s="28"/>
      <c r="H8" s="28">
        <f t="shared" ref="H8:H42" si="4">MAX(0,C8-F8-G8)</f>
        <v>76175414.594992414</v>
      </c>
      <c r="J8" s="11"/>
    </row>
    <row r="9" spans="1:10">
      <c r="A9" s="1" t="s">
        <v>35</v>
      </c>
      <c r="B9" s="10">
        <f>EDATE(B8,New!$B$9)</f>
        <v>46082</v>
      </c>
      <c r="C9" s="28">
        <f t="shared" si="0"/>
        <v>76175414.594992414</v>
      </c>
      <c r="D9" s="29">
        <f t="shared" si="1"/>
        <v>3311075.3724821317</v>
      </c>
      <c r="E9" s="28">
        <f t="shared" si="2"/>
        <v>1840905.8527123167</v>
      </c>
      <c r="F9" s="29">
        <f t="shared" si="3"/>
        <v>1470169.519769815</v>
      </c>
      <c r="G9" s="28"/>
      <c r="H9" s="28">
        <f t="shared" si="4"/>
        <v>74705245.075222597</v>
      </c>
    </row>
    <row r="10" spans="1:10">
      <c r="A10" s="1" t="s">
        <v>36</v>
      </c>
      <c r="B10" s="10">
        <f>EDATE(B9,New!$B$9)</f>
        <v>46113</v>
      </c>
      <c r="C10" s="28">
        <f t="shared" si="0"/>
        <v>74705245.075222597</v>
      </c>
      <c r="D10" s="29">
        <f t="shared" si="1"/>
        <v>3311075.3724821317</v>
      </c>
      <c r="E10" s="28">
        <f t="shared" si="2"/>
        <v>1805376.7559845462</v>
      </c>
      <c r="F10" s="29">
        <f t="shared" si="3"/>
        <v>1505698.6164975855</v>
      </c>
      <c r="G10" s="28"/>
      <c r="H10" s="28">
        <f>MAX(0,C10-F10-G10)</f>
        <v>73199546.458725005</v>
      </c>
    </row>
    <row r="11" spans="1:10">
      <c r="A11" s="1" t="s">
        <v>37</v>
      </c>
      <c r="B11" s="10">
        <f>EDATE(B10,New!$B$9)</f>
        <v>46143</v>
      </c>
      <c r="C11" s="28">
        <f t="shared" si="0"/>
        <v>73199546.458725005</v>
      </c>
      <c r="D11" s="29">
        <f t="shared" si="1"/>
        <v>3311075.3724821317</v>
      </c>
      <c r="E11" s="28">
        <f t="shared" si="2"/>
        <v>1768989.0394191877</v>
      </c>
      <c r="F11" s="29">
        <f t="shared" si="3"/>
        <v>1542086.333062944</v>
      </c>
      <c r="G11" s="28"/>
      <c r="H11" s="28">
        <f t="shared" si="4"/>
        <v>71657460.125662059</v>
      </c>
    </row>
    <row r="12" spans="1:10">
      <c r="A12" s="1" t="s">
        <v>38</v>
      </c>
      <c r="B12" s="10">
        <f>EDATE(B11,New!$B$9)</f>
        <v>46174</v>
      </c>
      <c r="C12" s="28">
        <f t="shared" si="0"/>
        <v>71657460.125662059</v>
      </c>
      <c r="D12" s="29">
        <f t="shared" si="1"/>
        <v>3311075.3724821317</v>
      </c>
      <c r="E12" s="28">
        <f t="shared" si="2"/>
        <v>1731721.9530368331</v>
      </c>
      <c r="F12" s="29">
        <f t="shared" si="3"/>
        <v>1579353.4194452986</v>
      </c>
      <c r="G12" s="28"/>
      <c r="H12" s="28">
        <f t="shared" si="4"/>
        <v>70078106.706216753</v>
      </c>
    </row>
    <row r="13" spans="1:10">
      <c r="A13" s="1" t="s">
        <v>39</v>
      </c>
      <c r="B13" s="10">
        <f>EDATE(B12,New!$B$9)</f>
        <v>46204</v>
      </c>
      <c r="C13" s="28">
        <f t="shared" si="0"/>
        <v>70078106.706216753</v>
      </c>
      <c r="D13" s="29">
        <f t="shared" si="1"/>
        <v>3311075.3724821317</v>
      </c>
      <c r="E13" s="28">
        <f t="shared" si="2"/>
        <v>1693554.2454002381</v>
      </c>
      <c r="F13" s="29">
        <f t="shared" si="3"/>
        <v>1617521.1270818936</v>
      </c>
      <c r="G13" s="28"/>
      <c r="H13" s="28">
        <f>MAX(0,C13-F13-G13)</f>
        <v>68460585.579134852</v>
      </c>
    </row>
    <row r="14" spans="1:10">
      <c r="A14" s="1" t="s">
        <v>40</v>
      </c>
      <c r="B14" s="10">
        <f>EDATE(B13,New!$B$9)</f>
        <v>46235</v>
      </c>
      <c r="C14" s="28">
        <f t="shared" ref="C14:C42" si="5">H13</f>
        <v>68460585.579134852</v>
      </c>
      <c r="D14" s="29">
        <f t="shared" si="1"/>
        <v>3311075.3724821317</v>
      </c>
      <c r="E14" s="28">
        <f t="shared" si="2"/>
        <v>1654464.1514957589</v>
      </c>
      <c r="F14" s="29">
        <f t="shared" si="3"/>
        <v>1656611.2209863728</v>
      </c>
      <c r="G14" s="28"/>
      <c r="H14" s="28">
        <f t="shared" si="4"/>
        <v>66803974.358148478</v>
      </c>
    </row>
    <row r="15" spans="1:10">
      <c r="A15" s="1" t="s">
        <v>41</v>
      </c>
      <c r="B15" s="10">
        <f>EDATE(B14,New!$B$9)</f>
        <v>46266</v>
      </c>
      <c r="C15" s="28">
        <f t="shared" si="5"/>
        <v>66803974.358148478</v>
      </c>
      <c r="D15" s="29">
        <f t="shared" si="1"/>
        <v>3311075.3724821317</v>
      </c>
      <c r="E15" s="28">
        <f t="shared" si="2"/>
        <v>1614429.3803219215</v>
      </c>
      <c r="F15" s="29">
        <f t="shared" si="3"/>
        <v>1696645.9921602102</v>
      </c>
      <c r="G15" s="28"/>
      <c r="H15" s="28">
        <f t="shared" si="4"/>
        <v>65107328.365988269</v>
      </c>
    </row>
    <row r="16" spans="1:10">
      <c r="A16" s="1" t="s">
        <v>42</v>
      </c>
      <c r="B16" s="10">
        <f>EDATE(B15,New!$B$9)</f>
        <v>46296</v>
      </c>
      <c r="C16" s="28">
        <f t="shared" si="5"/>
        <v>65107328.365988269</v>
      </c>
      <c r="D16" s="29">
        <f t="shared" si="1"/>
        <v>3311075.3724821317</v>
      </c>
      <c r="E16" s="28">
        <f t="shared" si="2"/>
        <v>1573427.1021780497</v>
      </c>
      <c r="F16" s="29">
        <f t="shared" si="3"/>
        <v>1737648.270304082</v>
      </c>
      <c r="G16" s="28"/>
      <c r="H16" s="28">
        <f t="shared" si="4"/>
        <v>63369680.095684186</v>
      </c>
    </row>
    <row r="17" spans="1:8">
      <c r="A17" s="1" t="s">
        <v>43</v>
      </c>
      <c r="B17" s="10">
        <f>EDATE(B16,New!$B$9)</f>
        <v>46327</v>
      </c>
      <c r="C17" s="28">
        <f t="shared" si="5"/>
        <v>63369680.095684186</v>
      </c>
      <c r="D17" s="29">
        <f t="shared" si="1"/>
        <v>3311075.3724821317</v>
      </c>
      <c r="E17" s="28">
        <f t="shared" si="2"/>
        <v>1531433.9356457011</v>
      </c>
      <c r="F17" s="29">
        <f t="shared" si="3"/>
        <v>1779641.4368364306</v>
      </c>
      <c r="G17" s="28"/>
      <c r="H17" s="28">
        <f t="shared" si="4"/>
        <v>61590038.658847757</v>
      </c>
    </row>
    <row r="18" spans="1:8">
      <c r="A18" s="1" t="s">
        <v>44</v>
      </c>
      <c r="B18" s="10">
        <f>EDATE(B17,New!$B$9)</f>
        <v>46357</v>
      </c>
      <c r="C18" s="28">
        <f t="shared" si="5"/>
        <v>61590038.658847757</v>
      </c>
      <c r="D18" s="29">
        <f t="shared" si="1"/>
        <v>3311075.3724821317</v>
      </c>
      <c r="E18" s="28">
        <f t="shared" si="2"/>
        <v>1488425.9342554875</v>
      </c>
      <c r="F18" s="29">
        <f t="shared" si="3"/>
        <v>1822649.4382266442</v>
      </c>
      <c r="G18" s="28"/>
      <c r="H18" s="28">
        <f t="shared" si="4"/>
        <v>59767389.220621109</v>
      </c>
    </row>
    <row r="19" spans="1:8">
      <c r="A19" s="1" t="s">
        <v>45</v>
      </c>
      <c r="B19" s="10">
        <f>EDATE(B18,New!$B$9)</f>
        <v>46388</v>
      </c>
      <c r="C19" s="28">
        <f t="shared" si="5"/>
        <v>59767389.220621109</v>
      </c>
      <c r="D19" s="29">
        <f t="shared" si="1"/>
        <v>3311075.3724821317</v>
      </c>
      <c r="E19" s="28">
        <f t="shared" si="2"/>
        <v>1444378.5728316768</v>
      </c>
      <c r="F19" s="29">
        <f t="shared" si="3"/>
        <v>1866696.7996504549</v>
      </c>
      <c r="G19" s="28"/>
      <c r="H19" s="28">
        <f t="shared" si="4"/>
        <v>57900692.420970656</v>
      </c>
    </row>
    <row r="20" spans="1:8">
      <c r="A20" s="1" t="s">
        <v>46</v>
      </c>
      <c r="B20" s="10">
        <f>EDATE(B19,New!$B$9)</f>
        <v>46419</v>
      </c>
      <c r="C20" s="28">
        <f t="shared" si="5"/>
        <v>57900692.420970656</v>
      </c>
      <c r="D20" s="29">
        <f t="shared" si="1"/>
        <v>3311075.3724821317</v>
      </c>
      <c r="E20" s="28">
        <f t="shared" si="2"/>
        <v>1399266.7335067908</v>
      </c>
      <c r="F20" s="29">
        <f t="shared" si="3"/>
        <v>1911808.6389753409</v>
      </c>
      <c r="G20" s="28"/>
      <c r="H20" s="28">
        <f t="shared" si="4"/>
        <v>55988883.781995311</v>
      </c>
    </row>
    <row r="21" spans="1:8">
      <c r="A21" s="1" t="s">
        <v>47</v>
      </c>
      <c r="B21" s="10">
        <f>EDATE(B20,New!$B$9)</f>
        <v>46447</v>
      </c>
      <c r="C21" s="28">
        <f t="shared" si="5"/>
        <v>55988883.781995311</v>
      </c>
      <c r="D21" s="29">
        <f t="shared" si="1"/>
        <v>3311075.3724821317</v>
      </c>
      <c r="E21" s="28">
        <f t="shared" si="2"/>
        <v>1353064.6913982199</v>
      </c>
      <c r="F21" s="29">
        <f t="shared" si="3"/>
        <v>1958010.6810839118</v>
      </c>
      <c r="G21" s="28"/>
      <c r="H21" s="28">
        <f t="shared" si="4"/>
        <v>54030873.100911401</v>
      </c>
    </row>
    <row r="22" spans="1:8">
      <c r="A22" s="1" t="s">
        <v>48</v>
      </c>
      <c r="B22" s="10">
        <f>EDATE(B21,New!$B$9)</f>
        <v>46478</v>
      </c>
      <c r="C22" s="28">
        <f t="shared" si="5"/>
        <v>54030873.100911401</v>
      </c>
      <c r="D22" s="29">
        <f t="shared" si="1"/>
        <v>3311075.3724821317</v>
      </c>
      <c r="E22" s="28">
        <f t="shared" si="2"/>
        <v>1305746.0999386921</v>
      </c>
      <c r="F22" s="29">
        <f t="shared" si="3"/>
        <v>2005329.2725434396</v>
      </c>
      <c r="G22" s="28"/>
      <c r="H22" s="28">
        <f t="shared" si="4"/>
        <v>52025543.828367963</v>
      </c>
    </row>
    <row r="23" spans="1:8">
      <c r="A23" s="1" t="s">
        <v>49</v>
      </c>
      <c r="B23" s="10">
        <f>EDATE(B22,New!$B$9)</f>
        <v>46508</v>
      </c>
      <c r="C23" s="28">
        <f t="shared" si="5"/>
        <v>52025543.828367963</v>
      </c>
      <c r="D23" s="29">
        <f t="shared" si="1"/>
        <v>3311075.3724821317</v>
      </c>
      <c r="E23" s="28">
        <f t="shared" si="2"/>
        <v>1257283.9758522257</v>
      </c>
      <c r="F23" s="29">
        <f t="shared" si="3"/>
        <v>2053791.396629906</v>
      </c>
      <c r="G23" s="28"/>
      <c r="H23" s="28">
        <f t="shared" si="4"/>
        <v>49971752.431738056</v>
      </c>
    </row>
    <row r="24" spans="1:8">
      <c r="A24" s="1" t="s">
        <v>50</v>
      </c>
      <c r="B24" s="10">
        <f>EDATE(B23,New!$B$9)</f>
        <v>46539</v>
      </c>
      <c r="C24" s="28">
        <f t="shared" si="5"/>
        <v>49971752.431738056</v>
      </c>
      <c r="D24" s="29">
        <f t="shared" si="1"/>
        <v>3311075.3724821317</v>
      </c>
      <c r="E24" s="28">
        <f t="shared" si="2"/>
        <v>1207650.683767003</v>
      </c>
      <c r="F24" s="29">
        <f t="shared" si="3"/>
        <v>2103424.6887151287</v>
      </c>
      <c r="G24" s="28"/>
      <c r="H24" s="28">
        <f t="shared" si="4"/>
        <v>47868327.743022926</v>
      </c>
    </row>
    <row r="25" spans="1:8">
      <c r="A25" s="1" t="s">
        <v>51</v>
      </c>
      <c r="B25" s="10">
        <f>EDATE(B24,New!$B$9)</f>
        <v>46569</v>
      </c>
      <c r="C25" s="28">
        <f t="shared" si="5"/>
        <v>47868327.743022926</v>
      </c>
      <c r="D25" s="29">
        <f t="shared" si="1"/>
        <v>3311075.3724821317</v>
      </c>
      <c r="E25" s="28">
        <f t="shared" si="2"/>
        <v>1156817.9204563873</v>
      </c>
      <c r="F25" s="29">
        <f t="shared" si="3"/>
        <v>2154257.4520257441</v>
      </c>
      <c r="G25" s="28"/>
      <c r="H25" s="28">
        <f t="shared" si="4"/>
        <v>45714070.290997185</v>
      </c>
    </row>
    <row r="26" spans="1:8">
      <c r="A26" s="1" t="s">
        <v>52</v>
      </c>
      <c r="B26" s="10">
        <f>EDATE(B25,New!$B$9)</f>
        <v>46600</v>
      </c>
      <c r="C26" s="28">
        <f t="shared" si="5"/>
        <v>45714070.290997185</v>
      </c>
      <c r="D26" s="29">
        <f t="shared" si="1"/>
        <v>3311075.3724821317</v>
      </c>
      <c r="E26" s="28">
        <f t="shared" si="2"/>
        <v>1104756.6986990985</v>
      </c>
      <c r="F26" s="29">
        <f t="shared" si="3"/>
        <v>2206318.6737830332</v>
      </c>
      <c r="G26" s="28"/>
      <c r="H26" s="28">
        <f t="shared" si="4"/>
        <v>43507751.617214151</v>
      </c>
    </row>
    <row r="27" spans="1:8">
      <c r="A27" s="1" t="s">
        <v>53</v>
      </c>
      <c r="B27" s="10">
        <f>EDATE(B26,New!$B$9)</f>
        <v>46631</v>
      </c>
      <c r="C27" s="28">
        <f t="shared" si="5"/>
        <v>43507751.617214151</v>
      </c>
      <c r="D27" s="29">
        <f t="shared" si="1"/>
        <v>3311075.3724821317</v>
      </c>
      <c r="E27" s="28">
        <f t="shared" si="2"/>
        <v>1051437.330749342</v>
      </c>
      <c r="F27" s="29">
        <f t="shared" si="3"/>
        <v>2259638.0417327899</v>
      </c>
      <c r="G27" s="28"/>
      <c r="H27" s="28">
        <f t="shared" si="4"/>
        <v>41248113.575481363</v>
      </c>
    </row>
    <row r="28" spans="1:8">
      <c r="A28" s="1" t="s">
        <v>54</v>
      </c>
      <c r="B28" s="10">
        <f>EDATE(B27,New!$B$9)</f>
        <v>46661</v>
      </c>
      <c r="C28" s="28">
        <f t="shared" si="5"/>
        <v>41248113.575481363</v>
      </c>
      <c r="D28" s="29">
        <f t="shared" si="1"/>
        <v>3311075.3724821317</v>
      </c>
      <c r="E28" s="28">
        <f t="shared" si="2"/>
        <v>996829.41140746628</v>
      </c>
      <c r="F28" s="29">
        <f t="shared" si="3"/>
        <v>2314245.9610746652</v>
      </c>
      <c r="G28" s="28"/>
      <c r="H28" s="28">
        <f t="shared" si="4"/>
        <v>38933867.614406697</v>
      </c>
    </row>
    <row r="29" spans="1:8">
      <c r="A29" s="1" t="s">
        <v>55</v>
      </c>
      <c r="B29" s="10">
        <f>EDATE(B28,New!$B$9)</f>
        <v>46692</v>
      </c>
      <c r="C29" s="28">
        <f t="shared" si="5"/>
        <v>38933867.614406697</v>
      </c>
      <c r="D29" s="29">
        <f t="shared" si="1"/>
        <v>3311075.3724821317</v>
      </c>
      <c r="E29" s="28">
        <f t="shared" si="2"/>
        <v>940901.80068149522</v>
      </c>
      <c r="F29" s="29">
        <f t="shared" si="3"/>
        <v>2370173.5718006366</v>
      </c>
      <c r="G29" s="28"/>
      <c r="H29" s="28">
        <f t="shared" si="4"/>
        <v>36563694.042606063</v>
      </c>
    </row>
    <row r="30" spans="1:8">
      <c r="A30" s="1" t="s">
        <v>56</v>
      </c>
      <c r="B30" s="10">
        <f>EDATE(B29,New!$B$9)</f>
        <v>46722</v>
      </c>
      <c r="C30" s="28">
        <f t="shared" si="5"/>
        <v>36563694.042606063</v>
      </c>
      <c r="D30" s="29">
        <f t="shared" si="1"/>
        <v>3311075.3724821317</v>
      </c>
      <c r="E30" s="28">
        <f t="shared" si="2"/>
        <v>883622.60602964647</v>
      </c>
      <c r="F30" s="29">
        <f t="shared" si="3"/>
        <v>2427452.7664524852</v>
      </c>
      <c r="G30" s="28"/>
      <c r="H30" s="28">
        <f t="shared" si="4"/>
        <v>34136241.276153579</v>
      </c>
    </row>
    <row r="31" spans="1:8">
      <c r="A31" s="1" t="s">
        <v>57</v>
      </c>
      <c r="B31" s="10">
        <f>EDATE(B30,New!$B$9)</f>
        <v>46753</v>
      </c>
      <c r="C31" s="28">
        <f t="shared" si="5"/>
        <v>34136241.276153579</v>
      </c>
      <c r="D31" s="29">
        <f t="shared" ref="D31:D42" si="6">IF(C31=0,0,$D$3)</f>
        <v>3311075.3724821317</v>
      </c>
      <c r="E31" s="28">
        <f t="shared" ref="E31:E42" si="7">IF(C31=0,0,C31*$D$2)</f>
        <v>824959.16417371144</v>
      </c>
      <c r="F31" s="29">
        <f t="shared" si="3"/>
        <v>2486116.2083084201</v>
      </c>
      <c r="G31" s="28"/>
      <c r="H31" s="28">
        <f t="shared" si="4"/>
        <v>31650125.067845158</v>
      </c>
    </row>
    <row r="32" spans="1:8">
      <c r="A32" s="1" t="s">
        <v>58</v>
      </c>
      <c r="B32" s="10">
        <f>EDATE(B31,New!$B$9)</f>
        <v>46784</v>
      </c>
      <c r="C32" s="28">
        <f t="shared" si="5"/>
        <v>31650125.067845158</v>
      </c>
      <c r="D32" s="29">
        <f t="shared" si="6"/>
        <v>3311075.3724821317</v>
      </c>
      <c r="E32" s="28">
        <f t="shared" si="7"/>
        <v>764878.02247292467</v>
      </c>
      <c r="F32" s="29">
        <f t="shared" si="3"/>
        <v>2546197.3500092071</v>
      </c>
      <c r="G32" s="28"/>
      <c r="H32" s="28">
        <f t="shared" si="4"/>
        <v>29103927.717835952</v>
      </c>
    </row>
    <row r="33" spans="1:8">
      <c r="A33" s="1" t="s">
        <v>59</v>
      </c>
      <c r="B33" s="10">
        <f>EDATE(B32,New!$B$9)</f>
        <v>46813</v>
      </c>
      <c r="C33" s="28">
        <f t="shared" si="5"/>
        <v>29103927.717835952</v>
      </c>
      <c r="D33" s="29">
        <f t="shared" si="6"/>
        <v>3311075.3724821317</v>
      </c>
      <c r="E33" s="28">
        <f t="shared" si="7"/>
        <v>703344.91984770214</v>
      </c>
      <c r="F33" s="29">
        <f t="shared" si="3"/>
        <v>2607730.4526344296</v>
      </c>
      <c r="G33" s="28"/>
      <c r="H33" s="28">
        <f t="shared" si="4"/>
        <v>26496197.265201524</v>
      </c>
    </row>
    <row r="34" spans="1:8">
      <c r="A34" s="1" t="s">
        <v>60</v>
      </c>
      <c r="B34" s="10">
        <f>EDATE(B33,New!$B$9)</f>
        <v>46844</v>
      </c>
      <c r="C34" s="28">
        <f t="shared" si="5"/>
        <v>26496197.265201524</v>
      </c>
      <c r="D34" s="29">
        <f t="shared" si="6"/>
        <v>3311075.3724821317</v>
      </c>
      <c r="E34" s="28">
        <f t="shared" si="7"/>
        <v>640324.76724237017</v>
      </c>
      <c r="F34" s="29">
        <f t="shared" si="3"/>
        <v>2670750.6052397615</v>
      </c>
      <c r="G34" s="28"/>
      <c r="H34" s="28">
        <f t="shared" si="4"/>
        <v>23825446.659961764</v>
      </c>
    </row>
    <row r="35" spans="1:8">
      <c r="A35" s="1" t="s">
        <v>61</v>
      </c>
      <c r="B35" s="10">
        <f>EDATE(B34,New!$B$9)</f>
        <v>46874</v>
      </c>
      <c r="C35" s="28">
        <f t="shared" si="5"/>
        <v>23825446.659961764</v>
      </c>
      <c r="D35" s="29">
        <f t="shared" si="6"/>
        <v>3311075.3724821317</v>
      </c>
      <c r="E35" s="28">
        <f t="shared" si="7"/>
        <v>575781.62761574262</v>
      </c>
      <c r="F35" s="29">
        <f t="shared" si="3"/>
        <v>2735293.7448663888</v>
      </c>
      <c r="G35" s="28"/>
      <c r="H35" s="28">
        <f t="shared" si="4"/>
        <v>21090152.915095374</v>
      </c>
    </row>
    <row r="36" spans="1:8">
      <c r="A36" s="1" t="s">
        <v>62</v>
      </c>
      <c r="B36" s="10">
        <f>EDATE(B35,New!$B$9)</f>
        <v>46905</v>
      </c>
      <c r="C36" s="28">
        <f t="shared" si="5"/>
        <v>21090152.915095374</v>
      </c>
      <c r="D36" s="29">
        <f t="shared" si="6"/>
        <v>3311075.3724821317</v>
      </c>
      <c r="E36" s="28">
        <f t="shared" si="7"/>
        <v>509678.69544813817</v>
      </c>
      <c r="F36" s="29">
        <f t="shared" si="3"/>
        <v>2801396.6770339934</v>
      </c>
      <c r="G36" s="28"/>
      <c r="H36" s="28">
        <f t="shared" si="4"/>
        <v>18288756.23806138</v>
      </c>
    </row>
    <row r="37" spans="1:8">
      <c r="A37" s="1" t="s">
        <v>63</v>
      </c>
      <c r="B37" s="10">
        <f>EDATE(B36,New!$B$9)</f>
        <v>46935</v>
      </c>
      <c r="C37" s="28">
        <f t="shared" si="5"/>
        <v>18288756.23806138</v>
      </c>
      <c r="D37" s="29">
        <f t="shared" si="6"/>
        <v>3311075.3724821317</v>
      </c>
      <c r="E37" s="28">
        <f t="shared" si="7"/>
        <v>441978.27575315</v>
      </c>
      <c r="F37" s="29">
        <f t="shared" si="3"/>
        <v>2869097.0967289815</v>
      </c>
      <c r="G37" s="28"/>
      <c r="H37" s="28">
        <f t="shared" si="4"/>
        <v>15419659.141332399</v>
      </c>
    </row>
    <row r="38" spans="1:8">
      <c r="A38" s="1" t="s">
        <v>64</v>
      </c>
      <c r="B38" s="10">
        <f>EDATE(B37,New!$B$9)</f>
        <v>46966</v>
      </c>
      <c r="C38" s="28">
        <f t="shared" si="5"/>
        <v>15419659.141332399</v>
      </c>
      <c r="D38" s="29">
        <f t="shared" si="6"/>
        <v>3311075.3724821317</v>
      </c>
      <c r="E38" s="28">
        <f t="shared" si="7"/>
        <v>372641.76258219965</v>
      </c>
      <c r="F38" s="29">
        <f t="shared" si="3"/>
        <v>2938433.6098999321</v>
      </c>
      <c r="G38" s="28"/>
      <c r="H38" s="28">
        <f t="shared" si="4"/>
        <v>12481225.531432467</v>
      </c>
    </row>
    <row r="39" spans="1:8">
      <c r="A39" s="1" t="s">
        <v>65</v>
      </c>
      <c r="B39" s="10">
        <f>EDATE(B38,New!$B$9)</f>
        <v>46997</v>
      </c>
      <c r="C39" s="28">
        <f t="shared" si="5"/>
        <v>12481225.531432467</v>
      </c>
      <c r="D39" s="29">
        <f t="shared" si="6"/>
        <v>3311075.3724821317</v>
      </c>
      <c r="E39" s="28">
        <f t="shared" si="7"/>
        <v>301629.61700961791</v>
      </c>
      <c r="F39" s="29">
        <f t="shared" si="3"/>
        <v>3009445.7554725138</v>
      </c>
      <c r="G39" s="28"/>
      <c r="H39" s="28">
        <f t="shared" si="4"/>
        <v>9471779.7759599537</v>
      </c>
    </row>
    <row r="40" spans="1:8">
      <c r="A40" s="1" t="s">
        <v>66</v>
      </c>
      <c r="B40" s="10">
        <f>EDATE(B39,New!$B$9)</f>
        <v>47027</v>
      </c>
      <c r="C40" s="28">
        <f t="shared" si="5"/>
        <v>9471779.7759599537</v>
      </c>
      <c r="D40" s="29">
        <f t="shared" si="6"/>
        <v>3311075.3724821317</v>
      </c>
      <c r="E40" s="28">
        <f t="shared" si="7"/>
        <v>228901.34458569888</v>
      </c>
      <c r="F40" s="29">
        <f t="shared" si="3"/>
        <v>3082174.0278964327</v>
      </c>
      <c r="G40" s="28"/>
      <c r="H40" s="28">
        <f t="shared" si="4"/>
        <v>6389605.7480635215</v>
      </c>
    </row>
    <row r="41" spans="1:8">
      <c r="A41" s="1" t="s">
        <v>67</v>
      </c>
      <c r="B41" s="10">
        <f>EDATE(B40,New!$B$9)</f>
        <v>47058</v>
      </c>
      <c r="C41" s="28">
        <f t="shared" si="5"/>
        <v>6389605.7480635215</v>
      </c>
      <c r="D41" s="29">
        <f t="shared" si="6"/>
        <v>3311075.3724821317</v>
      </c>
      <c r="E41" s="28">
        <f t="shared" si="7"/>
        <v>154415.47224486843</v>
      </c>
      <c r="F41" s="29">
        <f t="shared" si="3"/>
        <v>3156659.9002372632</v>
      </c>
      <c r="G41" s="28"/>
      <c r="H41" s="28">
        <f t="shared" si="4"/>
        <v>3232945.8478262583</v>
      </c>
    </row>
    <row r="42" spans="1:8">
      <c r="A42" s="1" t="s">
        <v>68</v>
      </c>
      <c r="B42" s="10">
        <f>EDATE(B41,New!$B$9)</f>
        <v>47088</v>
      </c>
      <c r="C42" s="28">
        <f t="shared" si="5"/>
        <v>3232945.8478262583</v>
      </c>
      <c r="D42" s="29">
        <f t="shared" si="6"/>
        <v>3311075.3724821317</v>
      </c>
      <c r="E42" s="28">
        <f t="shared" si="7"/>
        <v>78129.524655801244</v>
      </c>
      <c r="F42" s="29">
        <f t="shared" si="3"/>
        <v>3232945.8478263305</v>
      </c>
      <c r="G42" s="28"/>
      <c r="H42" s="28">
        <f t="shared" si="4"/>
        <v>0</v>
      </c>
    </row>
    <row r="43" spans="1:8">
      <c r="C43" s="28"/>
      <c r="D43" s="28"/>
      <c r="E43" s="28"/>
      <c r="F43" s="28"/>
      <c r="G43" s="28"/>
      <c r="H43" s="28"/>
    </row>
    <row r="44" spans="1:8">
      <c r="C44" s="28"/>
      <c r="D44" s="30">
        <f>SUM(D7:D43)</f>
        <v>119198713.40935677</v>
      </c>
      <c r="E44" s="30">
        <f>SUM(E7:E43)</f>
        <v>40186213.409356691</v>
      </c>
      <c r="F44" s="30">
        <f>SUM(F7:F43)</f>
        <v>79012500.000000045</v>
      </c>
      <c r="G44" s="30">
        <f>SUM(G7:G43)</f>
        <v>0</v>
      </c>
      <c r="H44" s="28"/>
    </row>
  </sheetData>
  <dataValidations count="1">
    <dataValidation type="decimal" operator="lessThanOrEqual" allowBlank="1" showInputMessage="1" showErrorMessage="1" sqref="G7:G42" xr:uid="{DD6042AD-1814-4288-854F-9009A921CBA7}">
      <formula1>H7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Dashboard</vt:lpstr>
      <vt:lpstr>New</vt:lpstr>
      <vt:lpstr>Old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Joseph</dc:creator>
  <cp:lastModifiedBy>HP</cp:lastModifiedBy>
  <dcterms:created xsi:type="dcterms:W3CDTF">2025-06-18T11:45:00Z</dcterms:created>
  <dcterms:modified xsi:type="dcterms:W3CDTF">2026-07-22T12:15:36Z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30C4A044EFA8490EB651AD6DD99221F3_11</vt:lpwstr>
  </property>
  <property fmtid="{D5CDD505-2E9C-101B-9397-08002B2CF9AE}" pid="3" name="KSOProductBuildVer">
    <vt:lpwstr>1033-12.2.0.23155</vt:lpwstr>
  </property>
</Properties>
</file>